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roject for finance\Vadilal Report\"/>
    </mc:Choice>
  </mc:AlternateContent>
  <xr:revisionPtr revIDLastSave="0" documentId="13_ncr:1_{DBCB1758-BE4C-43E0-8548-D496A04E9B3E}" xr6:coauthVersionLast="47" xr6:coauthVersionMax="47" xr10:uidLastSave="{00000000-0000-0000-0000-000000000000}"/>
  <bookViews>
    <workbookView xWindow="-120" yWindow="-120" windowWidth="29040" windowHeight="15720" xr2:uid="{99038C74-F085-48DC-88CD-731C55256BBA}"/>
  </bookViews>
  <sheets>
    <sheet name="INDEX" sheetId="13" r:id="rId1"/>
    <sheet name="BS" sheetId="1" r:id="rId2"/>
    <sheet name="CF" sheetId="6" r:id="rId3"/>
    <sheet name="PL" sheetId="5" r:id="rId4"/>
    <sheet name="Formated PL" sheetId="8" r:id="rId5"/>
    <sheet name="WC Note" sheetId="11" r:id="rId6"/>
    <sheet name="PPE NOTE" sheetId="9" r:id="rId7"/>
    <sheet name="Other Equity" sheetId="10" r:id="rId8"/>
    <sheet name="Revenue Breakup" sheetId="7" r:id="rId9"/>
    <sheet name="WACC" sheetId="14" r:id="rId10"/>
    <sheet name="FCFF" sheetId="16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3" l="1"/>
  <c r="L6" i="13" s="1"/>
  <c r="L10" i="13"/>
  <c r="L9" i="13"/>
  <c r="L8" i="13"/>
  <c r="L11" i="13" s="1"/>
  <c r="L12" i="13" s="1"/>
  <c r="L13" i="13" s="1"/>
  <c r="L2" i="13"/>
  <c r="C3" i="16"/>
  <c r="D3" i="16"/>
  <c r="E3" i="16"/>
  <c r="F3" i="16"/>
  <c r="C4" i="16"/>
  <c r="C7" i="16" s="1"/>
  <c r="D4" i="16"/>
  <c r="E4" i="16"/>
  <c r="F4" i="16"/>
  <c r="C5" i="16"/>
  <c r="D5" i="16"/>
  <c r="E5" i="16"/>
  <c r="E7" i="16" s="1"/>
  <c r="F5" i="16"/>
  <c r="G5" i="16"/>
  <c r="H5" i="16"/>
  <c r="I5" i="16"/>
  <c r="J5" i="16"/>
  <c r="K5" i="16"/>
  <c r="C6" i="16"/>
  <c r="D6" i="16"/>
  <c r="E6" i="16"/>
  <c r="F6" i="16"/>
  <c r="B3" i="16"/>
  <c r="B4" i="16"/>
  <c r="B7" i="16" s="1"/>
  <c r="B5" i="16"/>
  <c r="B6" i="16"/>
  <c r="F12" i="16"/>
  <c r="F13" i="16"/>
  <c r="F16" i="16"/>
  <c r="F18" i="16"/>
  <c r="C1" i="16"/>
  <c r="D1" i="16"/>
  <c r="E1" i="16"/>
  <c r="F1" i="16"/>
  <c r="G1" i="16"/>
  <c r="H1" i="16"/>
  <c r="I1" i="16"/>
  <c r="J1" i="16"/>
  <c r="K1" i="16"/>
  <c r="B1" i="16"/>
  <c r="G24" i="14"/>
  <c r="C14" i="14"/>
  <c r="D14" i="14"/>
  <c r="E14" i="14"/>
  <c r="F14" i="14"/>
  <c r="B14" i="14"/>
  <c r="C10" i="14"/>
  <c r="D10" i="14"/>
  <c r="E10" i="14"/>
  <c r="F10" i="14"/>
  <c r="C12" i="14"/>
  <c r="D12" i="14"/>
  <c r="E12" i="14"/>
  <c r="F12" i="14"/>
  <c r="G12" i="14"/>
  <c r="B12" i="14"/>
  <c r="B10" i="14"/>
  <c r="C8" i="14"/>
  <c r="D8" i="14"/>
  <c r="E8" i="14"/>
  <c r="F8" i="14"/>
  <c r="B8" i="14"/>
  <c r="C6" i="14"/>
  <c r="D6" i="14"/>
  <c r="E6" i="14"/>
  <c r="F6" i="14"/>
  <c r="G6" i="14"/>
  <c r="C7" i="14"/>
  <c r="D7" i="14"/>
  <c r="E7" i="14"/>
  <c r="F7" i="14"/>
  <c r="G7" i="14"/>
  <c r="B7" i="14"/>
  <c r="B6" i="14"/>
  <c r="C3" i="14"/>
  <c r="D3" i="14"/>
  <c r="E3" i="14"/>
  <c r="F3" i="14"/>
  <c r="C4" i="14"/>
  <c r="D4" i="14"/>
  <c r="E4" i="14"/>
  <c r="F4" i="14"/>
  <c r="G4" i="14"/>
  <c r="C5" i="14"/>
  <c r="D5" i="14"/>
  <c r="E5" i="14"/>
  <c r="F5" i="14"/>
  <c r="G5" i="14"/>
  <c r="B5" i="14"/>
  <c r="B4" i="14"/>
  <c r="B3" i="14"/>
  <c r="C1" i="14"/>
  <c r="D1" i="14"/>
  <c r="E1" i="14"/>
  <c r="F1" i="14"/>
  <c r="G1" i="14"/>
  <c r="B1" i="14"/>
  <c r="C5" i="10"/>
  <c r="D5" i="10"/>
  <c r="E5" i="10"/>
  <c r="F5" i="10"/>
  <c r="B5" i="10"/>
  <c r="G2" i="10"/>
  <c r="C4" i="10"/>
  <c r="D4" i="10"/>
  <c r="E4" i="10"/>
  <c r="F4" i="10"/>
  <c r="B4" i="10"/>
  <c r="C3" i="10"/>
  <c r="D3" i="10"/>
  <c r="E3" i="10"/>
  <c r="F3" i="10"/>
  <c r="B3" i="10"/>
  <c r="E10" i="9"/>
  <c r="D10" i="9"/>
  <c r="C10" i="9"/>
  <c r="C3" i="9"/>
  <c r="B6" i="9"/>
  <c r="G9" i="11"/>
  <c r="G8" i="11"/>
  <c r="E4" i="9"/>
  <c r="G10" i="11"/>
  <c r="I34" i="8"/>
  <c r="J34" i="8" s="1"/>
  <c r="K34" i="8" s="1"/>
  <c r="H34" i="8"/>
  <c r="H26" i="8"/>
  <c r="I26" i="8" s="1"/>
  <c r="J26" i="8" s="1"/>
  <c r="K26" i="8" s="1"/>
  <c r="I24" i="8"/>
  <c r="I25" i="8" s="1"/>
  <c r="H24" i="8"/>
  <c r="H25" i="8" s="1"/>
  <c r="H14" i="8"/>
  <c r="I14" i="8" s="1"/>
  <c r="J14" i="8" s="1"/>
  <c r="K14" i="8" s="1"/>
  <c r="H7" i="8"/>
  <c r="H5" i="8"/>
  <c r="I5" i="8" s="1"/>
  <c r="I3" i="8"/>
  <c r="J3" i="8" s="1"/>
  <c r="K3" i="8" s="1"/>
  <c r="H3" i="8"/>
  <c r="C15" i="1"/>
  <c r="D15" i="1"/>
  <c r="E15" i="1"/>
  <c r="F15" i="1"/>
  <c r="C53" i="1"/>
  <c r="D53" i="1"/>
  <c r="E53" i="1"/>
  <c r="F53" i="1"/>
  <c r="C52" i="1"/>
  <c r="D52" i="1"/>
  <c r="E52" i="1"/>
  <c r="F52" i="1"/>
  <c r="C51" i="1"/>
  <c r="D51" i="1"/>
  <c r="E51" i="1"/>
  <c r="F51" i="1"/>
  <c r="C39" i="1"/>
  <c r="D39" i="1"/>
  <c r="E39" i="1"/>
  <c r="F39" i="1"/>
  <c r="G39" i="1"/>
  <c r="H39" i="1"/>
  <c r="I39" i="1"/>
  <c r="J39" i="1"/>
  <c r="K39" i="1"/>
  <c r="C31" i="1"/>
  <c r="D31" i="1"/>
  <c r="E31" i="1"/>
  <c r="F31" i="1"/>
  <c r="C26" i="1"/>
  <c r="D26" i="1"/>
  <c r="E26" i="1"/>
  <c r="F26" i="1"/>
  <c r="C25" i="1"/>
  <c r="D25" i="1"/>
  <c r="E25" i="1"/>
  <c r="F25" i="1"/>
  <c r="F14" i="11"/>
  <c r="F19" i="6"/>
  <c r="K38" i="6"/>
  <c r="J38" i="6"/>
  <c r="I38" i="6"/>
  <c r="H38" i="6"/>
  <c r="C19" i="6"/>
  <c r="D19" i="6"/>
  <c r="E19" i="6"/>
  <c r="F22" i="6"/>
  <c r="C8" i="11"/>
  <c r="D8" i="11"/>
  <c r="E8" i="11"/>
  <c r="F8" i="11"/>
  <c r="B8" i="11"/>
  <c r="F19" i="9"/>
  <c r="G19" i="9" s="1"/>
  <c r="H19" i="9" s="1"/>
  <c r="I19" i="9" s="1"/>
  <c r="F27" i="5"/>
  <c r="E27" i="5"/>
  <c r="D27" i="5"/>
  <c r="C27" i="5"/>
  <c r="B27" i="5"/>
  <c r="B28" i="5" s="1"/>
  <c r="B19" i="5"/>
  <c r="F18" i="5"/>
  <c r="E18" i="5"/>
  <c r="D18" i="5"/>
  <c r="C18" i="5"/>
  <c r="B18" i="5"/>
  <c r="C14" i="5"/>
  <c r="C19" i="5" s="1"/>
  <c r="B14" i="5"/>
  <c r="C13" i="5"/>
  <c r="D13" i="5"/>
  <c r="E13" i="5"/>
  <c r="F13" i="5"/>
  <c r="B13" i="5"/>
  <c r="C5" i="5"/>
  <c r="D5" i="5"/>
  <c r="D14" i="5" s="1"/>
  <c r="D19" i="5" s="1"/>
  <c r="D28" i="5" s="1"/>
  <c r="E5" i="5"/>
  <c r="E14" i="5" s="1"/>
  <c r="E19" i="5" s="1"/>
  <c r="E28" i="5" s="1"/>
  <c r="F5" i="5"/>
  <c r="F14" i="5" s="1"/>
  <c r="F19" i="5" s="1"/>
  <c r="F28" i="5" s="1"/>
  <c r="B5" i="5"/>
  <c r="C20" i="8"/>
  <c r="D20" i="8"/>
  <c r="D21" i="8" s="1"/>
  <c r="E20" i="8"/>
  <c r="F20" i="8"/>
  <c r="F21" i="8" s="1"/>
  <c r="B20" i="8"/>
  <c r="G38" i="6"/>
  <c r="E38" i="6"/>
  <c r="D38" i="6"/>
  <c r="C38" i="6"/>
  <c r="B38" i="6"/>
  <c r="F38" i="6"/>
  <c r="B30" i="6"/>
  <c r="C30" i="6"/>
  <c r="D30" i="6"/>
  <c r="E30" i="6"/>
  <c r="F30" i="6"/>
  <c r="E22" i="6"/>
  <c r="D22" i="6"/>
  <c r="C22" i="6"/>
  <c r="B22" i="6"/>
  <c r="E16" i="6"/>
  <c r="E17" i="6" s="1"/>
  <c r="D16" i="6"/>
  <c r="D17" i="6" s="1"/>
  <c r="C16" i="6"/>
  <c r="C17" i="6" s="1"/>
  <c r="B16" i="6"/>
  <c r="B17" i="6" s="1"/>
  <c r="B24" i="6" s="1"/>
  <c r="B39" i="6" s="1"/>
  <c r="B41" i="6" s="1"/>
  <c r="C40" i="6" s="1"/>
  <c r="F16" i="6"/>
  <c r="F17" i="6" s="1"/>
  <c r="B51" i="1"/>
  <c r="B39" i="1"/>
  <c r="B31" i="1"/>
  <c r="B25" i="1"/>
  <c r="B15" i="1"/>
  <c r="C2" i="1"/>
  <c r="D2" i="1"/>
  <c r="E2" i="1"/>
  <c r="F2" i="1"/>
  <c r="G2" i="1"/>
  <c r="H2" i="1"/>
  <c r="I2" i="1"/>
  <c r="J2" i="1"/>
  <c r="K2" i="1"/>
  <c r="B2" i="1"/>
  <c r="C9" i="11"/>
  <c r="D9" i="11"/>
  <c r="E9" i="11"/>
  <c r="F9" i="11"/>
  <c r="C10" i="11"/>
  <c r="D10" i="11"/>
  <c r="E10" i="11"/>
  <c r="F10" i="11"/>
  <c r="B10" i="11"/>
  <c r="B9" i="11"/>
  <c r="C34" i="8"/>
  <c r="D34" i="8"/>
  <c r="E34" i="8"/>
  <c r="F34" i="8"/>
  <c r="G34" i="8" s="1"/>
  <c r="B34" i="8"/>
  <c r="D4" i="11"/>
  <c r="E4" i="11"/>
  <c r="K2" i="11"/>
  <c r="J2" i="11"/>
  <c r="I2" i="11"/>
  <c r="H2" i="11"/>
  <c r="G2" i="11"/>
  <c r="F2" i="11"/>
  <c r="E2" i="11"/>
  <c r="D2" i="11"/>
  <c r="C2" i="11"/>
  <c r="B2" i="11"/>
  <c r="C1" i="6"/>
  <c r="D1" i="6"/>
  <c r="E1" i="6"/>
  <c r="F1" i="6"/>
  <c r="G1" i="6"/>
  <c r="H1" i="6"/>
  <c r="I1" i="6"/>
  <c r="J1" i="6"/>
  <c r="K1" i="6"/>
  <c r="B1" i="6"/>
  <c r="C1" i="10"/>
  <c r="D1" i="10"/>
  <c r="E1" i="10"/>
  <c r="F1" i="10"/>
  <c r="G1" i="10"/>
  <c r="H1" i="10"/>
  <c r="I1" i="10"/>
  <c r="J1" i="10"/>
  <c r="K1" i="10"/>
  <c r="B1" i="10"/>
  <c r="F20" i="9"/>
  <c r="I1" i="9"/>
  <c r="H1" i="9"/>
  <c r="G1" i="9"/>
  <c r="F1" i="9"/>
  <c r="E1" i="9"/>
  <c r="D1" i="9"/>
  <c r="C1" i="9"/>
  <c r="B1" i="9"/>
  <c r="G6" i="7"/>
  <c r="G5" i="7" s="1"/>
  <c r="G4" i="7" s="1"/>
  <c r="G3" i="7" s="1"/>
  <c r="G5" i="8"/>
  <c r="E6" i="8"/>
  <c r="F6" i="8"/>
  <c r="B7" i="8"/>
  <c r="B4" i="11" s="1"/>
  <c r="C7" i="8"/>
  <c r="C4" i="11" s="1"/>
  <c r="D7" i="8"/>
  <c r="D3" i="8" s="1"/>
  <c r="E7" i="8"/>
  <c r="E3" i="8" s="1"/>
  <c r="E4" i="8" s="1"/>
  <c r="F7" i="8"/>
  <c r="F3" i="8" s="1"/>
  <c r="B9" i="8"/>
  <c r="C9" i="8"/>
  <c r="C11" i="8" s="1"/>
  <c r="D9" i="8"/>
  <c r="D11" i="8" s="1"/>
  <c r="E9" i="8"/>
  <c r="E5" i="11" s="1"/>
  <c r="E6" i="11" s="1"/>
  <c r="F9" i="8"/>
  <c r="F5" i="11" s="1"/>
  <c r="F6" i="11" s="1"/>
  <c r="F11" i="8"/>
  <c r="F12" i="8" s="1"/>
  <c r="B14" i="8"/>
  <c r="C14" i="8"/>
  <c r="D14" i="8"/>
  <c r="D15" i="8" s="1"/>
  <c r="E14" i="8"/>
  <c r="E15" i="8" s="1"/>
  <c r="F14" i="8"/>
  <c r="G14" i="8" s="1"/>
  <c r="B16" i="8"/>
  <c r="C16" i="8"/>
  <c r="C17" i="8" s="1"/>
  <c r="D16" i="8"/>
  <c r="E16" i="8"/>
  <c r="F16" i="8"/>
  <c r="D17" i="8"/>
  <c r="E17" i="8"/>
  <c r="C21" i="8"/>
  <c r="B24" i="8"/>
  <c r="C24" i="8"/>
  <c r="C25" i="8" s="1"/>
  <c r="D24" i="8"/>
  <c r="E24" i="8"/>
  <c r="F24" i="8"/>
  <c r="F25" i="8" s="1"/>
  <c r="B26" i="8"/>
  <c r="C26" i="8"/>
  <c r="D26" i="8"/>
  <c r="E26" i="8"/>
  <c r="F26" i="8"/>
  <c r="G26" i="8"/>
  <c r="B29" i="8"/>
  <c r="C29" i="8"/>
  <c r="D29" i="8"/>
  <c r="E29" i="8"/>
  <c r="F29" i="8"/>
  <c r="D7" i="16" l="1"/>
  <c r="F7" i="16"/>
  <c r="C6" i="9"/>
  <c r="B19" i="9"/>
  <c r="B16" i="9"/>
  <c r="I7" i="8"/>
  <c r="J5" i="8"/>
  <c r="H11" i="8"/>
  <c r="H8" i="8"/>
  <c r="H16" i="8"/>
  <c r="J24" i="8"/>
  <c r="H9" i="8"/>
  <c r="B17" i="8"/>
  <c r="F10" i="8"/>
  <c r="F4" i="11"/>
  <c r="B10" i="8"/>
  <c r="B20" i="9"/>
  <c r="D20" i="9"/>
  <c r="C20" i="9"/>
  <c r="C24" i="6"/>
  <c r="C39" i="6" s="1"/>
  <c r="F24" i="6"/>
  <c r="F39" i="6" s="1"/>
  <c r="E24" i="6"/>
  <c r="E39" i="6" s="1"/>
  <c r="D24" i="6"/>
  <c r="D39" i="6" s="1"/>
  <c r="C41" i="6"/>
  <c r="C28" i="5"/>
  <c r="F9" i="7"/>
  <c r="H9" i="7" s="1"/>
  <c r="F12" i="11"/>
  <c r="H12" i="11" s="1"/>
  <c r="I12" i="11" s="1"/>
  <c r="J12" i="11" s="1"/>
  <c r="C12" i="11"/>
  <c r="E25" i="8"/>
  <c r="C15" i="8"/>
  <c r="C8" i="8"/>
  <c r="F8" i="7"/>
  <c r="H8" i="7" s="1"/>
  <c r="D5" i="11"/>
  <c r="D6" i="11" s="1"/>
  <c r="D14" i="11" s="1"/>
  <c r="B12" i="11"/>
  <c r="E12" i="11"/>
  <c r="E13" i="11"/>
  <c r="F17" i="8"/>
  <c r="D25" i="8"/>
  <c r="F18" i="8"/>
  <c r="F19" i="8" s="1"/>
  <c r="F7" i="7"/>
  <c r="H7" i="7" s="1"/>
  <c r="H6" i="7" s="1"/>
  <c r="H5" i="7" s="1"/>
  <c r="H4" i="7" s="1"/>
  <c r="H3" i="7" s="1"/>
  <c r="H2" i="7" s="1"/>
  <c r="B5" i="11"/>
  <c r="C5" i="11"/>
  <c r="C6" i="11" s="1"/>
  <c r="C14" i="11" s="1"/>
  <c r="F13" i="11"/>
  <c r="H13" i="11" s="1"/>
  <c r="I13" i="11" s="1"/>
  <c r="J13" i="11" s="1"/>
  <c r="K13" i="11" s="1"/>
  <c r="D12" i="11"/>
  <c r="C1" i="1"/>
  <c r="D1" i="1"/>
  <c r="E1" i="1"/>
  <c r="B52" i="1"/>
  <c r="B53" i="1" s="1"/>
  <c r="G20" i="9"/>
  <c r="B26" i="1"/>
  <c r="F1" i="1"/>
  <c r="E14" i="11"/>
  <c r="H14" i="11"/>
  <c r="G2" i="7"/>
  <c r="D18" i="8"/>
  <c r="D12" i="8"/>
  <c r="G3" i="8"/>
  <c r="F4" i="8"/>
  <c r="C18" i="8"/>
  <c r="C12" i="8"/>
  <c r="G24" i="8"/>
  <c r="B11" i="8"/>
  <c r="E21" i="8"/>
  <c r="E10" i="8"/>
  <c r="F15" i="8"/>
  <c r="E11" i="8"/>
  <c r="D10" i="8"/>
  <c r="F8" i="8"/>
  <c r="C10" i="8"/>
  <c r="E8" i="8"/>
  <c r="D8" i="8"/>
  <c r="C16" i="9" l="1"/>
  <c r="D3" i="9"/>
  <c r="D6" i="9" s="1"/>
  <c r="D19" i="9" s="1"/>
  <c r="C19" i="9"/>
  <c r="E3" i="9"/>
  <c r="D16" i="9"/>
  <c r="K24" i="8"/>
  <c r="K25" i="8" s="1"/>
  <c r="J25" i="8"/>
  <c r="H18" i="8"/>
  <c r="H12" i="8"/>
  <c r="J7" i="8"/>
  <c r="K5" i="8"/>
  <c r="K7" i="8" s="1"/>
  <c r="I9" i="8"/>
  <c r="I8" i="8"/>
  <c r="I16" i="8"/>
  <c r="I11" i="8"/>
  <c r="D41" i="6"/>
  <c r="E40" i="6" s="1"/>
  <c r="E41" i="6" s="1"/>
  <c r="F40" i="6" s="1"/>
  <c r="F41" i="6" s="1"/>
  <c r="G40" i="6" s="1"/>
  <c r="F4" i="7"/>
  <c r="F3" i="7"/>
  <c r="F22" i="8"/>
  <c r="F23" i="8" s="1"/>
  <c r="F6" i="7"/>
  <c r="C13" i="11"/>
  <c r="F5" i="7"/>
  <c r="F2" i="7"/>
  <c r="D13" i="11"/>
  <c r="B6" i="11"/>
  <c r="B14" i="11" s="1"/>
  <c r="B13" i="11"/>
  <c r="B1" i="1"/>
  <c r="H20" i="9"/>
  <c r="I14" i="11"/>
  <c r="K12" i="11"/>
  <c r="G7" i="8"/>
  <c r="E12" i="8"/>
  <c r="E18" i="8"/>
  <c r="B18" i="8"/>
  <c r="B12" i="8"/>
  <c r="C19" i="8"/>
  <c r="C22" i="8"/>
  <c r="D19" i="8"/>
  <c r="D22" i="8"/>
  <c r="G25" i="8"/>
  <c r="K16" i="8" l="1"/>
  <c r="K9" i="8"/>
  <c r="K11" i="8" s="1"/>
  <c r="K8" i="8"/>
  <c r="J16" i="8"/>
  <c r="J11" i="8"/>
  <c r="J8" i="8"/>
  <c r="J9" i="8"/>
  <c r="I12" i="8"/>
  <c r="I18" i="8"/>
  <c r="H19" i="8"/>
  <c r="F27" i="8"/>
  <c r="G4" i="11"/>
  <c r="H4" i="11"/>
  <c r="H8" i="11" s="1"/>
  <c r="F4" i="9"/>
  <c r="H26" i="6" s="1"/>
  <c r="I20" i="9"/>
  <c r="J14" i="11"/>
  <c r="F28" i="8"/>
  <c r="F31" i="8"/>
  <c r="F8" i="10" s="1"/>
  <c r="F30" i="8"/>
  <c r="E19" i="8"/>
  <c r="E22" i="8"/>
  <c r="B19" i="8"/>
  <c r="B22" i="8"/>
  <c r="C27" i="8"/>
  <c r="C23" i="8"/>
  <c r="D27" i="8"/>
  <c r="D23" i="8"/>
  <c r="G9" i="8"/>
  <c r="G5" i="11" s="1"/>
  <c r="G16" i="8"/>
  <c r="G8" i="8"/>
  <c r="H30" i="6" l="1"/>
  <c r="H6" i="16"/>
  <c r="K18" i="8"/>
  <c r="K12" i="8"/>
  <c r="J18" i="8"/>
  <c r="J12" i="8"/>
  <c r="I19" i="8"/>
  <c r="H20" i="6"/>
  <c r="G11" i="8"/>
  <c r="G18" i="8" s="1"/>
  <c r="H5" i="11"/>
  <c r="I4" i="11"/>
  <c r="I8" i="11" s="1"/>
  <c r="G4" i="9"/>
  <c r="I26" i="6" s="1"/>
  <c r="H19" i="1"/>
  <c r="G20" i="6"/>
  <c r="G19" i="1"/>
  <c r="G26" i="6"/>
  <c r="E6" i="9"/>
  <c r="E11" i="9" s="1"/>
  <c r="G6" i="11"/>
  <c r="K14" i="11"/>
  <c r="E27" i="8"/>
  <c r="E23" i="8"/>
  <c r="D31" i="8"/>
  <c r="D8" i="10" s="1"/>
  <c r="D30" i="8"/>
  <c r="D28" i="8"/>
  <c r="C28" i="8"/>
  <c r="C31" i="8"/>
  <c r="C8" i="10" s="1"/>
  <c r="C30" i="8"/>
  <c r="F32" i="8"/>
  <c r="F35" i="8"/>
  <c r="K4" i="11"/>
  <c r="K8" i="11" s="1"/>
  <c r="K19" i="1" s="1"/>
  <c r="B23" i="8"/>
  <c r="B27" i="8"/>
  <c r="I30" i="6" l="1"/>
  <c r="I6" i="16"/>
  <c r="G30" i="6"/>
  <c r="G6" i="16"/>
  <c r="J19" i="8"/>
  <c r="K19" i="8"/>
  <c r="I19" i="1"/>
  <c r="I20" i="6"/>
  <c r="G12" i="8"/>
  <c r="I4" i="9"/>
  <c r="K26" i="6" s="1"/>
  <c r="F3" i="9"/>
  <c r="F6" i="9" s="1"/>
  <c r="G17" i="1"/>
  <c r="G19" i="6"/>
  <c r="J4" i="11"/>
  <c r="J8" i="11" s="1"/>
  <c r="K20" i="6" s="1"/>
  <c r="H4" i="9"/>
  <c r="J26" i="6" s="1"/>
  <c r="G21" i="6"/>
  <c r="G46" i="1"/>
  <c r="G51" i="1" s="1"/>
  <c r="G52" i="1" s="1"/>
  <c r="H6" i="11"/>
  <c r="H10" i="11" s="1"/>
  <c r="H21" i="6" s="1"/>
  <c r="H9" i="11"/>
  <c r="I5" i="11"/>
  <c r="G19" i="8"/>
  <c r="B28" i="8"/>
  <c r="B31" i="8"/>
  <c r="B30" i="8"/>
  <c r="D32" i="8"/>
  <c r="D35" i="8"/>
  <c r="C35" i="8"/>
  <c r="C32" i="8"/>
  <c r="J5" i="11"/>
  <c r="E28" i="8"/>
  <c r="E31" i="8"/>
  <c r="E8" i="10" s="1"/>
  <c r="E30" i="8"/>
  <c r="K30" i="6" l="1"/>
  <c r="K6" i="16"/>
  <c r="J30" i="6"/>
  <c r="J6" i="16"/>
  <c r="B8" i="10"/>
  <c r="B35" i="8"/>
  <c r="J20" i="6"/>
  <c r="G22" i="6"/>
  <c r="H19" i="6"/>
  <c r="H22" i="6" s="1"/>
  <c r="H46" i="1"/>
  <c r="H51" i="1" s="1"/>
  <c r="H52" i="1" s="1"/>
  <c r="I6" i="11"/>
  <c r="I10" i="11" s="1"/>
  <c r="I21" i="6" s="1"/>
  <c r="I9" i="11"/>
  <c r="J6" i="11"/>
  <c r="J10" i="11" s="1"/>
  <c r="J9" i="11"/>
  <c r="E13" i="9"/>
  <c r="E16" i="9" s="1"/>
  <c r="G5" i="6"/>
  <c r="G16" i="6" s="1"/>
  <c r="G20" i="8"/>
  <c r="G4" i="16" s="1"/>
  <c r="K5" i="11"/>
  <c r="H17" i="1"/>
  <c r="J19" i="1"/>
  <c r="F11" i="9"/>
  <c r="G3" i="9"/>
  <c r="G6" i="9" s="1"/>
  <c r="E35" i="8"/>
  <c r="E32" i="8"/>
  <c r="C36" i="8"/>
  <c r="B32" i="8"/>
  <c r="D36" i="8"/>
  <c r="H5" i="6" l="1"/>
  <c r="H16" i="6" s="1"/>
  <c r="H20" i="8"/>
  <c r="H4" i="16" s="1"/>
  <c r="J19" i="6"/>
  <c r="J21" i="6"/>
  <c r="I19" i="6"/>
  <c r="I22" i="6" s="1"/>
  <c r="J17" i="1"/>
  <c r="I17" i="1"/>
  <c r="G21" i="8"/>
  <c r="G22" i="8"/>
  <c r="I46" i="1"/>
  <c r="I51" i="1" s="1"/>
  <c r="I52" i="1" s="1"/>
  <c r="K6" i="11"/>
  <c r="K10" i="11" s="1"/>
  <c r="K21" i="6" s="1"/>
  <c r="K9" i="11"/>
  <c r="K17" i="1" s="1"/>
  <c r="J46" i="1"/>
  <c r="J51" i="1" s="1"/>
  <c r="J52" i="1" s="1"/>
  <c r="H3" i="9"/>
  <c r="H6" i="9" s="1"/>
  <c r="G11" i="9"/>
  <c r="F10" i="9"/>
  <c r="F13" i="9" s="1"/>
  <c r="G5" i="1"/>
  <c r="G15" i="1" s="1"/>
  <c r="E36" i="8"/>
  <c r="F36" i="8"/>
  <c r="G10" i="14" l="1"/>
  <c r="G3" i="16"/>
  <c r="G7" i="16" s="1"/>
  <c r="G9" i="16" s="1"/>
  <c r="I5" i="6"/>
  <c r="I16" i="6" s="1"/>
  <c r="I20" i="8"/>
  <c r="I4" i="16" s="1"/>
  <c r="H21" i="8"/>
  <c r="H22" i="8"/>
  <c r="H3" i="16" s="1"/>
  <c r="H7" i="16" s="1"/>
  <c r="H9" i="16" s="1"/>
  <c r="J22" i="6"/>
  <c r="K19" i="6"/>
  <c r="K22" i="6" s="1"/>
  <c r="H11" i="9"/>
  <c r="I3" i="9"/>
  <c r="I6" i="9" s="1"/>
  <c r="I11" i="9" s="1"/>
  <c r="G10" i="9"/>
  <c r="G13" i="9" s="1"/>
  <c r="F16" i="9"/>
  <c r="H5" i="1" s="1"/>
  <c r="H15" i="1" s="1"/>
  <c r="G23" i="8"/>
  <c r="G27" i="8"/>
  <c r="K46" i="1"/>
  <c r="K51" i="1" s="1"/>
  <c r="K52" i="1" s="1"/>
  <c r="K5" i="6" l="1"/>
  <c r="K16" i="6" s="1"/>
  <c r="K20" i="8"/>
  <c r="K4" i="16" s="1"/>
  <c r="I21" i="8"/>
  <c r="I22" i="8"/>
  <c r="I3" i="16" s="1"/>
  <c r="I7" i="16" s="1"/>
  <c r="I9" i="16" s="1"/>
  <c r="H23" i="8"/>
  <c r="H27" i="8"/>
  <c r="J5" i="6"/>
  <c r="J16" i="6" s="1"/>
  <c r="J20" i="8"/>
  <c r="J4" i="16" s="1"/>
  <c r="G28" i="8"/>
  <c r="G29" i="8"/>
  <c r="G31" i="8" s="1"/>
  <c r="H10" i="9"/>
  <c r="H13" i="9" s="1"/>
  <c r="G16" i="9"/>
  <c r="I5" i="1" s="1"/>
  <c r="I15" i="1" s="1"/>
  <c r="G3" i="10" l="1"/>
  <c r="G5" i="10" s="1"/>
  <c r="H2" i="10" s="1"/>
  <c r="H28" i="8"/>
  <c r="H29" i="8"/>
  <c r="H31" i="8" s="1"/>
  <c r="J21" i="8"/>
  <c r="J22" i="8"/>
  <c r="J3" i="16" s="1"/>
  <c r="J7" i="16" s="1"/>
  <c r="J9" i="16" s="1"/>
  <c r="I27" i="8"/>
  <c r="I23" i="8"/>
  <c r="K21" i="8"/>
  <c r="K22" i="8"/>
  <c r="K3" i="16" s="1"/>
  <c r="K7" i="16" s="1"/>
  <c r="G35" i="8"/>
  <c r="G36" i="8" s="1"/>
  <c r="G3" i="6"/>
  <c r="G17" i="6" s="1"/>
  <c r="G24" i="6" s="1"/>
  <c r="G39" i="6" s="1"/>
  <c r="G41" i="6" s="1"/>
  <c r="H40" i="6" s="1"/>
  <c r="G32" i="8"/>
  <c r="I10" i="9"/>
  <c r="I13" i="9" s="1"/>
  <c r="I16" i="9" s="1"/>
  <c r="K5" i="1" s="1"/>
  <c r="K15" i="1" s="1"/>
  <c r="H16" i="9"/>
  <c r="J5" i="1" s="1"/>
  <c r="J15" i="1" s="1"/>
  <c r="H3" i="6" l="1"/>
  <c r="H17" i="6" s="1"/>
  <c r="H24" i="6" s="1"/>
  <c r="H39" i="6" s="1"/>
  <c r="H3" i="10"/>
  <c r="H5" i="10"/>
  <c r="I2" i="10" s="1"/>
  <c r="I5" i="10" s="1"/>
  <c r="J2" i="10" s="1"/>
  <c r="I28" i="8"/>
  <c r="I29" i="8"/>
  <c r="I31" i="8" s="1"/>
  <c r="I3" i="10" s="1"/>
  <c r="J23" i="8"/>
  <c r="J27" i="8"/>
  <c r="K23" i="8"/>
  <c r="K27" i="8"/>
  <c r="H35" i="8"/>
  <c r="H36" i="8" s="1"/>
  <c r="H32" i="8"/>
  <c r="H41" i="6"/>
  <c r="I40" i="6" s="1"/>
  <c r="G20" i="1"/>
  <c r="G25" i="1" s="1"/>
  <c r="G26" i="1" s="1"/>
  <c r="G8" i="10"/>
  <c r="H8" i="10"/>
  <c r="I35" i="8" l="1"/>
  <c r="I36" i="8" s="1"/>
  <c r="I32" i="8"/>
  <c r="I3" i="6"/>
  <c r="I17" i="6" s="1"/>
  <c r="I24" i="6" s="1"/>
  <c r="I39" i="6" s="1"/>
  <c r="I41" i="6" s="1"/>
  <c r="J40" i="6" s="1"/>
  <c r="J29" i="8"/>
  <c r="J31" i="8"/>
  <c r="J28" i="8"/>
  <c r="K29" i="8"/>
  <c r="K31" i="8" s="1"/>
  <c r="K3" i="10" s="1"/>
  <c r="K28" i="8"/>
  <c r="I8" i="10"/>
  <c r="J3" i="6" l="1"/>
  <c r="J17" i="6" s="1"/>
  <c r="J24" i="6" s="1"/>
  <c r="J39" i="6" s="1"/>
  <c r="J3" i="10"/>
  <c r="J5" i="10" s="1"/>
  <c r="K2" i="10" s="1"/>
  <c r="K5" i="10" s="1"/>
  <c r="J41" i="6"/>
  <c r="K40" i="6" s="1"/>
  <c r="J35" i="8"/>
  <c r="J36" i="8" s="1"/>
  <c r="J32" i="8"/>
  <c r="K35" i="8"/>
  <c r="K32" i="8"/>
  <c r="K3" i="6"/>
  <c r="K17" i="6" s="1"/>
  <c r="K24" i="6" s="1"/>
  <c r="K39" i="6" s="1"/>
  <c r="J8" i="10"/>
  <c r="K8" i="10"/>
  <c r="H20" i="1"/>
  <c r="K41" i="6" l="1"/>
  <c r="K36" i="8"/>
  <c r="H25" i="1"/>
  <c r="H26" i="1" s="1"/>
  <c r="I20" i="1"/>
  <c r="I25" i="1" l="1"/>
  <c r="I26" i="1" s="1"/>
  <c r="J20" i="1"/>
  <c r="J25" i="1" s="1"/>
  <c r="J26" i="1" s="1"/>
  <c r="K20" i="1" l="1"/>
  <c r="K25" i="1" l="1"/>
  <c r="K26" i="1" s="1"/>
  <c r="J30" i="1" l="1"/>
  <c r="J31" i="1" s="1"/>
  <c r="J53" i="1" s="1"/>
  <c r="J1" i="1" s="1"/>
  <c r="I30" i="1"/>
  <c r="I31" i="1" s="1"/>
  <c r="I53" i="1" s="1"/>
  <c r="I1" i="1" s="1"/>
  <c r="K30" i="1"/>
  <c r="K31" i="1" s="1"/>
  <c r="K53" i="1" s="1"/>
  <c r="K1" i="1" s="1"/>
  <c r="H30" i="1"/>
  <c r="H31" i="1" s="1"/>
  <c r="H53" i="1" s="1"/>
  <c r="H1" i="1" s="1"/>
  <c r="G30" i="1"/>
  <c r="G31" i="1" s="1"/>
  <c r="G53" i="1" l="1"/>
  <c r="G1" i="1" s="1"/>
  <c r="G3" i="14"/>
  <c r="G14" i="14" l="1"/>
  <c r="G18" i="14" s="1"/>
  <c r="G17" i="14" s="1"/>
  <c r="G26" i="14" s="1"/>
  <c r="N4" i="16" s="1"/>
  <c r="K8" i="16" s="1"/>
  <c r="K9" i="16" s="1"/>
  <c r="F11" i="16" s="1"/>
  <c r="F14" i="16" s="1"/>
  <c r="F17" i="16" s="1"/>
  <c r="G8" i="14"/>
  <c r="O2" i="16" l="1"/>
  <c r="F19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68FDE6-F420-40E9-A0A5-6E2BE4956F40}" keepAlive="1" name="Query - Table080 (Page 36)" description="Connection to the 'Table080 (Page 36)' query in the workbook." type="5" refreshedVersion="0" background="1">
    <dbPr connection="Provider=Microsoft.Mashup.OleDb.1;Data Source=$Workbook$;Location=&quot;Table080 (Page 36)&quot;;Extended Properties=&quot;&quot;" command="SELECT * FROM [Table080 (Page 36)]"/>
  </connection>
  <connection id="2" xr16:uid="{5CADAB79-2628-403D-9611-112717887FF6}" keepAlive="1" name="Query - Table081 (Page 38)" description="Connection to the 'Table081 (Page 38)' query in the workbook." type="5" refreshedVersion="0" background="1">
    <dbPr connection="Provider=Microsoft.Mashup.OleDb.1;Data Source=$Workbook$;Location=&quot;Table081 (Page 38)&quot;;Extended Properties=&quot;&quot;" command="SELECT * FROM [Table081 (Page 38)]"/>
  </connection>
  <connection id="3" xr16:uid="{630918F8-3748-46E2-B176-4D812CFE97A7}" keepAlive="1" name="Query - Table082 (Page 37)" description="Connection to the 'Table082 (Page 37)' query in the workbook." type="5" refreshedVersion="8" background="1" saveData="1">
    <dbPr connection="Provider=Microsoft.Mashup.OleDb.1;Data Source=$Workbook$;Location=&quot;Table082 (Page 37)&quot;;Extended Properties=&quot;&quot;" command="SELECT * FROM [Table082 (Page 37)]"/>
  </connection>
  <connection id="4" xr16:uid="{0821FB90-0AFA-426D-9561-86968CF91030}" keepAlive="1" name="Query - Table083 (Page 39)" description="Connection to the 'Table083 (Page 39)' query in the workbook." type="5" refreshedVersion="8" background="1" saveData="1">
    <dbPr connection="Provider=Microsoft.Mashup.OleDb.1;Data Source=$Workbook$;Location=&quot;Table083 (Page 39)&quot;;Extended Properties=&quot;&quot;" command="SELECT * FROM [Table083 (Page 39)]"/>
  </connection>
  <connection id="5" xr16:uid="{825162CE-570B-40F2-BB3F-5BC139E6A7FD}" keepAlive="1" name="Query - Table084 (Page 38)" description="Connection to the 'Table084 (Page 38)' query in the workbook." type="5" refreshedVersion="8" background="1" saveData="1">
    <dbPr connection="Provider=Microsoft.Mashup.OleDb.1;Data Source=$Workbook$;Location=&quot;Table084 (Page 38)&quot;;Extended Properties=&quot;&quot;" command="SELECT * FROM [Table084 (Page 38)]"/>
  </connection>
  <connection id="6" xr16:uid="{488D3932-E494-4DFF-AA36-E2AD288E8305}" keepAlive="1" name="Query - Table085 (Page 40)" description="Connection to the 'Table085 (Page 40)' query in the workbook." type="5" refreshedVersion="8" background="1" saveData="1">
    <dbPr connection="Provider=Microsoft.Mashup.OleDb.1;Data Source=$Workbook$;Location=&quot;Table085 (Page 40)&quot;;Extended Properties=&quot;&quot;" command="SELECT * FROM [Table085 (Page 40)]"/>
  </connection>
  <connection id="7" xr16:uid="{D41492D1-E5CC-4AF4-8ADB-EC895D501085}" keepAlive="1" name="Query - Table099 (Page 46)" description="Connection to the 'Table099 (Page 46)' query in the workbook." type="5" refreshedVersion="0" background="1">
    <dbPr connection="Provider=Microsoft.Mashup.OleDb.1;Data Source=$Workbook$;Location=&quot;Table099 (Page 46)&quot;;Extended Properties=&quot;&quot;" command="SELECT * FROM [Table099 (Page 46)]"/>
  </connection>
  <connection id="8" xr16:uid="{BC498CEE-E555-4137-8E65-15A5E8918879}" keepAlive="1" name="Query - Table101 (Page 47)" description="Connection to the 'Table101 (Page 47)' query in the workbook." type="5" refreshedVersion="8" background="1" saveData="1">
    <dbPr connection="Provider=Microsoft.Mashup.OleDb.1;Data Source=$Workbook$;Location=&quot;Table101 (Page 47)&quot;;Extended Properties=&quot;&quot;" command="SELECT * FROM [Table101 (Page 47)]"/>
  </connection>
  <connection id="9" xr16:uid="{EBE8B78C-1D9E-4EFC-AF49-68EDDE6B736B}" keepAlive="1" name="Query - Table103 (Page 48)" description="Connection to the 'Table103 (Page 48)' query in the workbook." type="5" refreshedVersion="0" background="1">
    <dbPr connection="Provider=Microsoft.Mashup.OleDb.1;Data Source=$Workbook$;Location=&quot;Table103 (Page 48)&quot;;Extended Properties=&quot;&quot;" command="SELECT * FROM [Table103 (Page 48)]"/>
  </connection>
</connections>
</file>

<file path=xl/sharedStrings.xml><?xml version="1.0" encoding="utf-8"?>
<sst xmlns="http://schemas.openxmlformats.org/spreadsheetml/2006/main" count="335" uniqueCount="238">
  <si>
    <t>Particulars</t>
  </si>
  <si>
    <t>ASSETS</t>
  </si>
  <si>
    <t>Non-Current Assets</t>
  </si>
  <si>
    <t/>
  </si>
  <si>
    <t>Property,Plant And Equipment</t>
  </si>
  <si>
    <t>Capital Work-In-Progress</t>
  </si>
  <si>
    <t>Other Intangible Assets</t>
  </si>
  <si>
    <t>Right of use assets</t>
  </si>
  <si>
    <t>Financial Assets</t>
  </si>
  <si>
    <t>Investments</t>
  </si>
  <si>
    <t>Loans</t>
  </si>
  <si>
    <t>Other Financial Assets</t>
  </si>
  <si>
    <t>Deferred Tax Assets (Net)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</si>
  <si>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</si>
  <si>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</si>
  <si>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</si>
  <si>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</si>
  <si>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</si>
  <si>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</si>
  <si>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Bank Balance Other Than (ii) Above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</si>
  <si>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</si>
  <si>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</si>
  <si>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</si>
  <si>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</si>
  <si>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</si>
  <si>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</si>
  <si>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</si>
  <si>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</si>
  <si>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</si>
  <si>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Non-Current Liabilities</t>
  </si>
  <si>
    <t>Financial Liabilities</t>
  </si>
  <si>
    <t>Borrowings</t>
  </si>
  <si>
    <t>Lease Liabilities</t>
  </si>
  <si>
    <t>Provisions</t>
  </si>
  <si>
    <t>Total Non-Current Liabilities</t>
  </si>
  <si>
    <t>Current Liabilities</t>
  </si>
  <si>
    <t>Trade Payables</t>
  </si>
  <si>
    <t>- total outstanding dues of micro enterprises and small enterprises</t>
  </si>
  <si>
    <t>Other Financial Liabilities</t>
  </si>
  <si>
    <t>Current Tax Liabilities (Net)</t>
  </si>
  <si>
    <t>Other Current Liabilities</t>
  </si>
  <si>
    <t>Total Current Liabilities</t>
  </si>
  <si>
    <t>TOTAL EQUITY AND LIABILITIES</t>
  </si>
  <si>
    <t>Revenue From Operations</t>
  </si>
  <si>
    <t>Other Income</t>
  </si>
  <si>
    <t>Total Income (I+II)</t>
  </si>
  <si>
    <t>Expenses:</t>
  </si>
  <si>
    <t>Purchase of Stock-In-Trade</t>
  </si>
  <si>
    <t>Employee Benefits Expenses</t>
  </si>
  <si>
    <t>Finance Costs</t>
  </si>
  <si>
    <t>Depreciation and Amortization Expenses</t>
  </si>
  <si>
    <t>Other Expenses</t>
  </si>
  <si>
    <t>Total Expense (IV)</t>
  </si>
  <si>
    <t>Profit Before Tax (III-IV)</t>
  </si>
  <si>
    <t>Tax Expenses</t>
  </si>
  <si>
    <t>Current Tax</t>
  </si>
  <si>
    <t>Deferred Tax Expenses</t>
  </si>
  <si>
    <t>Total Tax Expenses</t>
  </si>
  <si>
    <t>Profit for the year (V-VI)</t>
  </si>
  <si>
    <t>Other Comprehensive Income / (Expense)</t>
  </si>
  <si>
    <t>Item that will not be reclassified to Profit or Loss</t>
  </si>
  <si>
    <t>Remeasurement of Defined Benefit Plans</t>
  </si>
  <si>
    <t>Tax Expense on Above Items</t>
  </si>
  <si>
    <t>Item that will be reclassified to Profit or Loss</t>
  </si>
  <si>
    <t>Fair value changes of Cash flow hedges</t>
  </si>
  <si>
    <t>Other Comprehensive Income / (Expense) for the year</t>
  </si>
  <si>
    <t>Total Comprehensive Income for the year (VII+VIII)</t>
  </si>
  <si>
    <t>Earnings per Share (Face value of ` 10 each):</t>
  </si>
  <si>
    <t>Basic</t>
  </si>
  <si>
    <t>Diluted</t>
  </si>
  <si>
    <t>CASH FLOWS FROM OPERATING ACTIVITIES</t>
  </si>
  <si>
    <t>Profit before tax</t>
  </si>
  <si>
    <t>Adjustments for:</t>
  </si>
  <si>
    <t>Depreciation and Amortisation expense</t>
  </si>
  <si>
    <t>Loss/(Profit) on sale of Property, Plant &amp; Equipment (net)</t>
  </si>
  <si>
    <t>Interest Income</t>
  </si>
  <si>
    <t>Loss/(Profit) from Sale of Current Investments</t>
  </si>
  <si>
    <t>Change in Fair value of the Current Investment</t>
  </si>
  <si>
    <t>Provision for Doubtful Debts</t>
  </si>
  <si>
    <t>Excess Provision/Credit Balance/Deposits written back</t>
  </si>
  <si>
    <t>Excess Provision for Trade Receivables</t>
  </si>
  <si>
    <t>Scrap Sale of asset</t>
  </si>
  <si>
    <t>Bad Debts Written off</t>
  </si>
  <si>
    <t>Operating Profit before Working Capital changes</t>
  </si>
  <si>
    <t>(Increase)/Decrease in Inventories</t>
  </si>
  <si>
    <t>(Increase)/Decrease in Trade receivables, financial assets and other assets</t>
  </si>
  <si>
    <t>Increase/(Decrease) in Trade Payables, financial liabilities, other liabilities and provisions</t>
  </si>
  <si>
    <t>Cash Generated from/(Used in) Operations</t>
  </si>
  <si>
    <t>Income Tax paid</t>
  </si>
  <si>
    <t>Net Cash Generated from / (Used in) operating activities (A)</t>
  </si>
  <si>
    <t>CASH FLOWS FROM INVESTING ACTIVITIES</t>
  </si>
  <si>
    <t>Capital Expenditure on Property, Plant &amp; Equipment &amp; Intangible asset</t>
  </si>
  <si>
    <t>Proceeds from Sale of Property, Plant &amp; Equipment</t>
  </si>
  <si>
    <t>Proceeds / (Purchase) from Sale of Current Investments (Net)</t>
  </si>
  <si>
    <t>Interest received</t>
  </si>
  <si>
    <t>Net Cash Generated from / (used in) Investing Activities (B)</t>
  </si>
  <si>
    <t>CASH FLOWS FROM FINANCING ACTIVITIES</t>
  </si>
  <si>
    <t>Repayment of Non Current borrowings</t>
  </si>
  <si>
    <t>Payment of Lease liabilities</t>
  </si>
  <si>
    <t>Interest paid</t>
  </si>
  <si>
    <t>Dividends paid (including tax on dividend)</t>
  </si>
  <si>
    <t>Net Cash Generated from / (Used in) Financing Activities (C)</t>
  </si>
  <si>
    <t>Net Increase / (Decrease) in Cash and Cash Equivalents (A+B+C)</t>
  </si>
  <si>
    <t>Cash and Cash Equivalents at the beginning of the year (Refer Note-11)</t>
  </si>
  <si>
    <t>Cash and Cash equivalents at the end of the year (Refer Note-11)</t>
  </si>
  <si>
    <t>Proceeds from Non Current borrowings</t>
  </si>
  <si>
    <t>Proceeds from /(Repayment of ) Current borrowings (Net)</t>
  </si>
  <si>
    <t>Changes in Working Capital:</t>
  </si>
  <si>
    <t>Changes In Inventories of Stock-In-Trade</t>
  </si>
  <si>
    <t>- total outstanding dues of creditors other than micro enterprises
and small enterprises</t>
  </si>
  <si>
    <t>Total Liabilities</t>
  </si>
  <si>
    <t>Gourmet/Natural Tubs (1 Litre): ₹220 - ₹320</t>
  </si>
  <si>
    <t>Premium Tubs (700ml - 750ml): ₹180 - ₹250</t>
  </si>
  <si>
    <t>Ice Cream Cakes (500ml): ₹210 - ₹340</t>
  </si>
  <si>
    <t>Cones &amp; Flingos: ₹30 - ₹55</t>
  </si>
  <si>
    <t>Cups: ₹45 - ₹60</t>
  </si>
  <si>
    <t>Kulfi Sticks: ₹45 - ₹60</t>
  </si>
  <si>
    <t>Rupees</t>
  </si>
  <si>
    <t>AVG PRICE</t>
  </si>
  <si>
    <t>Revenue Breakups</t>
  </si>
  <si>
    <t>F2026</t>
  </si>
  <si>
    <t>F2027</t>
  </si>
  <si>
    <t>F2028</t>
  </si>
  <si>
    <t>F2029</t>
  </si>
  <si>
    <t>F2030</t>
  </si>
  <si>
    <t>VOLUME</t>
  </si>
  <si>
    <t>YOY</t>
  </si>
  <si>
    <t>AVERAGE PRICE</t>
  </si>
  <si>
    <t>SALES</t>
  </si>
  <si>
    <t>COGS</t>
  </si>
  <si>
    <t>AS%OF SALES</t>
  </si>
  <si>
    <t>GROSS PROFIT</t>
  </si>
  <si>
    <t>GROSS MARGIN</t>
  </si>
  <si>
    <t>EMPLOYE EXPENDITURE</t>
  </si>
  <si>
    <t>OTHER EXPENDITURE</t>
  </si>
  <si>
    <t>EBITDA</t>
  </si>
  <si>
    <t>EBITDA MARGIN</t>
  </si>
  <si>
    <t>DEPRICITATION</t>
  </si>
  <si>
    <t>YoY</t>
  </si>
  <si>
    <t>EBIT</t>
  </si>
  <si>
    <t>EBIT MARGIN</t>
  </si>
  <si>
    <t>INTREST</t>
  </si>
  <si>
    <t>OTHER INCOME</t>
  </si>
  <si>
    <t>EBT</t>
  </si>
  <si>
    <t>EBT MARGIN</t>
  </si>
  <si>
    <t>TAX</t>
  </si>
  <si>
    <t>TAX RATE</t>
  </si>
  <si>
    <t>PAT</t>
  </si>
  <si>
    <t>PAT MARGIN</t>
  </si>
  <si>
    <t>FV</t>
  </si>
  <si>
    <t>Number of shares</t>
  </si>
  <si>
    <t>EPS</t>
  </si>
  <si>
    <t>Sales</t>
  </si>
  <si>
    <t>in Cr.</t>
  </si>
  <si>
    <t>Sale Quantity</t>
  </si>
  <si>
    <t>Growth in AVG price</t>
  </si>
  <si>
    <t>Growth In quantity</t>
  </si>
  <si>
    <t>PPE</t>
  </si>
  <si>
    <t>Gross Assets</t>
  </si>
  <si>
    <t>Opening balance</t>
  </si>
  <si>
    <t>Add: Capex</t>
  </si>
  <si>
    <t>Less: Sold</t>
  </si>
  <si>
    <t>Closing balance</t>
  </si>
  <si>
    <t>Depreciation Schedule</t>
  </si>
  <si>
    <t>Add: Depreciation For the year</t>
  </si>
  <si>
    <t>Adjustments</t>
  </si>
  <si>
    <t>Net assets ( Gross - Accumulated Depreciation)</t>
  </si>
  <si>
    <t>Depreciation Rate</t>
  </si>
  <si>
    <t>Capex as % of sales</t>
  </si>
  <si>
    <t>Particulars in Cr</t>
  </si>
  <si>
    <t>Add: Profit for the year</t>
  </si>
  <si>
    <t>Less: Dividends</t>
  </si>
  <si>
    <t>Dividend payout ratio</t>
  </si>
  <si>
    <t>Working capital Note</t>
  </si>
  <si>
    <t>Particulars in Rs Cr</t>
  </si>
  <si>
    <t>Receivables</t>
  </si>
  <si>
    <t>Inventory</t>
  </si>
  <si>
    <t>Payables</t>
  </si>
  <si>
    <t>Days of Receivables</t>
  </si>
  <si>
    <t>Days of Inventory</t>
  </si>
  <si>
    <t>Days of Payables</t>
  </si>
  <si>
    <t>CHECK</t>
  </si>
  <si>
    <t>INDEX</t>
  </si>
  <si>
    <t>NSE Code</t>
  </si>
  <si>
    <t>Bse Code</t>
  </si>
  <si>
    <t>Market Cap</t>
  </si>
  <si>
    <t>Macro-Economic Indicator</t>
  </si>
  <si>
    <t>Sector</t>
  </si>
  <si>
    <t>Industry</t>
  </si>
  <si>
    <t>Basic Industry</t>
  </si>
  <si>
    <t>Index</t>
  </si>
  <si>
    <t>52 High/low</t>
  </si>
  <si>
    <t>Valuation</t>
  </si>
  <si>
    <t>Forward PE</t>
  </si>
  <si>
    <t>Average PE</t>
  </si>
  <si>
    <t>Target Price as per PE</t>
  </si>
  <si>
    <t>Current Price</t>
  </si>
  <si>
    <t>Average EV/EBITDA</t>
  </si>
  <si>
    <t>EV</t>
  </si>
  <si>
    <t>Less :Debt</t>
  </si>
  <si>
    <t>Add Cash</t>
  </si>
  <si>
    <t>Equity Value</t>
  </si>
  <si>
    <t>Target Price as per EV/EBITDA ( Value per share)</t>
  </si>
  <si>
    <t>Upside/ downside</t>
  </si>
  <si>
    <t>Total Debt</t>
  </si>
  <si>
    <t>Interest expense</t>
  </si>
  <si>
    <t>Cost of debt (interest rate)</t>
  </si>
  <si>
    <t>Tax rate</t>
  </si>
  <si>
    <t>ROE</t>
  </si>
  <si>
    <t>Interest coverage</t>
  </si>
  <si>
    <t>After tax cost of debt</t>
  </si>
  <si>
    <t>Debt/Equity</t>
  </si>
  <si>
    <t>Weights</t>
  </si>
  <si>
    <t>Debt</t>
  </si>
  <si>
    <t>CAPM</t>
  </si>
  <si>
    <t>Rf</t>
  </si>
  <si>
    <t>B</t>
  </si>
  <si>
    <t>RM-RF</t>
  </si>
  <si>
    <t>Cost of equity</t>
  </si>
  <si>
    <t>WACC</t>
  </si>
  <si>
    <t>FCFF</t>
  </si>
  <si>
    <t>EBIT*(1-Tax rate)</t>
  </si>
  <si>
    <t>Add: Depreciation</t>
  </si>
  <si>
    <t>Change in Working capital</t>
  </si>
  <si>
    <t>Less: Capex</t>
  </si>
  <si>
    <t>Terminal Value</t>
  </si>
  <si>
    <t>Total Cash flow</t>
  </si>
  <si>
    <t>Present Value of all cash flows = Enterprise Value</t>
  </si>
  <si>
    <t>Less: Debt</t>
  </si>
  <si>
    <t>Add: Cash</t>
  </si>
  <si>
    <t>Intrinsic Value (Per share Value)</t>
  </si>
  <si>
    <t>Growth</t>
  </si>
  <si>
    <t>Upside/Downside</t>
  </si>
  <si>
    <t>Dairy Products</t>
  </si>
  <si>
    <t>14,620.55/7,800.00</t>
  </si>
  <si>
    <t>Fast Moving Consumer Goods</t>
  </si>
  <si>
    <t>Food Products</t>
  </si>
  <si>
    <t>Vadilal Enterprise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</si>
</sst>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10"/>
      <color rgb="FFFF0000"/>
      <name val="Aptos Narrow"/>
      <family val="2"/>
      <scheme val="minor"/>
    </font>
    <font>
      <i/>
      <sz val="10"/>
      <color rgb="FF00206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3" fillId="0" borderId="0" xfId="0" applyFont="1"/>
    <xf numFmtId="2" fontId="3" fillId="0" borderId="0" xfId="0" applyNumberFormat="1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2" xfId="0" applyBorder="1"/>
    <xf numFmtId="2" fontId="0" fillId="0" borderId="3" xfId="0" applyNumberForma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wrapText="1"/>
    </xf>
    <xf numFmtId="2" fontId="1" fillId="0" borderId="0" xfId="0" applyNumberFormat="1" applyFont="1" applyAlignment="1">
      <alignment horizontal="center" vertical="center"/>
    </xf>
    <xf numFmtId="10" fontId="8" fillId="0" borderId="4" xfId="0" applyNumberFormat="1" applyFont="1" applyBorder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3" fillId="0" borderId="7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2" fontId="2" fillId="0" borderId="16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wrapText="1"/>
    </xf>
    <xf numFmtId="2" fontId="0" fillId="0" borderId="7" xfId="0" applyNumberForma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8" fillId="0" borderId="7" xfId="0" applyFont="1" applyBorder="1"/>
    <xf numFmtId="0" fontId="0" fillId="0" borderId="7" xfId="0" applyBorder="1"/>
    <xf numFmtId="0" fontId="8" fillId="0" borderId="20" xfId="0" applyFont="1" applyBorder="1"/>
    <xf numFmtId="0" fontId="8" fillId="0" borderId="8" xfId="0" applyFont="1" applyBorder="1"/>
    <xf numFmtId="0" fontId="0" fillId="0" borderId="5" xfId="0" applyBorder="1"/>
    <xf numFmtId="0" fontId="0" fillId="0" borderId="9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0" fontId="8" fillId="0" borderId="12" xfId="0" applyNumberFormat="1" applyFont="1" applyBorder="1" applyAlignment="1">
      <alignment horizontal="center" vertical="center"/>
    </xf>
    <xf numFmtId="10" fontId="8" fillId="0" borderId="0" xfId="0" applyNumberFormat="1" applyFont="1" applyBorder="1" applyAlignment="1">
      <alignment horizontal="center" vertical="center"/>
    </xf>
    <xf numFmtId="10" fontId="7" fillId="0" borderId="0" xfId="0" applyNumberFormat="1" applyFont="1" applyBorder="1" applyAlignment="1">
      <alignment horizontal="center" vertical="center"/>
    </xf>
    <xf numFmtId="10" fontId="7" fillId="0" borderId="13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9" fontId="8" fillId="0" borderId="12" xfId="0" applyNumberFormat="1" applyFont="1" applyBorder="1" applyAlignment="1">
      <alignment horizontal="center" vertical="center"/>
    </xf>
    <xf numFmtId="9" fontId="8" fillId="0" borderId="0" xfId="0" applyNumberFormat="1" applyFont="1" applyBorder="1" applyAlignment="1">
      <alignment horizontal="center" vertical="center"/>
    </xf>
    <xf numFmtId="9" fontId="8" fillId="0" borderId="13" xfId="0" applyNumberFormat="1" applyFont="1" applyBorder="1" applyAlignment="1">
      <alignment horizontal="center" vertical="center"/>
    </xf>
    <xf numFmtId="10" fontId="8" fillId="0" borderId="13" xfId="0" applyNumberFormat="1" applyFont="1" applyBorder="1" applyAlignment="1">
      <alignment horizontal="center" vertical="center"/>
    </xf>
    <xf numFmtId="9" fontId="8" fillId="0" borderId="21" xfId="0" applyNumberFormat="1" applyFont="1" applyBorder="1" applyAlignment="1">
      <alignment horizontal="center" vertical="center"/>
    </xf>
    <xf numFmtId="10" fontId="8" fillId="0" borderId="22" xfId="0" applyNumberFormat="1" applyFont="1" applyBorder="1" applyAlignment="1">
      <alignment horizontal="center" vertical="center"/>
    </xf>
    <xf numFmtId="9" fontId="7" fillId="0" borderId="0" xfId="0" applyNumberFormat="1" applyFont="1" applyBorder="1" applyAlignment="1">
      <alignment horizontal="center" vertical="center"/>
    </xf>
    <xf numFmtId="9" fontId="7" fillId="0" borderId="13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/>
    </xf>
    <xf numFmtId="9" fontId="8" fillId="0" borderId="15" xfId="0" applyNumberFormat="1" applyFont="1" applyBorder="1" applyAlignment="1">
      <alignment horizontal="center" vertical="center"/>
    </xf>
    <xf numFmtId="9" fontId="8" fillId="0" borderId="16" xfId="0" applyNumberFormat="1" applyFont="1" applyBorder="1" applyAlignment="1">
      <alignment horizontal="center" vertical="center"/>
    </xf>
    <xf numFmtId="0" fontId="9" fillId="0" borderId="7" xfId="0" applyFont="1" applyBorder="1"/>
    <xf numFmtId="2" fontId="9" fillId="0" borderId="12" xfId="0" applyNumberFormat="1" applyFont="1" applyBorder="1" applyAlignment="1">
      <alignment horizontal="center" vertical="center"/>
    </xf>
    <xf numFmtId="2" fontId="9" fillId="0" borderId="0" xfId="0" applyNumberFormat="1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8" fillId="0" borderId="0" xfId="0" applyFont="1" applyBorder="1"/>
    <xf numFmtId="0" fontId="6" fillId="0" borderId="0" xfId="0" applyFont="1" applyBorder="1"/>
    <xf numFmtId="10" fontId="8" fillId="0" borderId="14" xfId="0" applyNumberFormat="1" applyFont="1" applyBorder="1" applyAlignment="1">
      <alignment horizontal="center" vertical="center"/>
    </xf>
    <xf numFmtId="10" fontId="8" fillId="0" borderId="15" xfId="0" applyNumberFormat="1" applyFont="1" applyBorder="1" applyAlignment="1">
      <alignment horizontal="center" vertical="center"/>
    </xf>
    <xf numFmtId="10" fontId="8" fillId="0" borderId="16" xfId="0" applyNumberFormat="1" applyFon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9" fontId="0" fillId="0" borderId="19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2" fontId="1" fillId="0" borderId="6" xfId="0" applyNumberFormat="1" applyFont="1" applyBorder="1" applyAlignment="1">
      <alignment horizontal="center" vertical="center"/>
    </xf>
    <xf numFmtId="9" fontId="0" fillId="2" borderId="7" xfId="0" applyNumberFormat="1" applyFill="1" applyBorder="1" applyAlignment="1">
      <alignment horizontal="center" vertical="center"/>
    </xf>
    <xf numFmtId="9" fontId="0" fillId="2" borderId="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A:\project%20for%20finance\Vadilal%20Report\VOLTAS%20FM.xlsx" TargetMode="External"/><Relationship Id="rId1" Type="http://schemas.openxmlformats.org/officeDocument/2006/relationships/externalLinkPath" Target="VOLTAS%20F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-Valuation"/>
      <sheetName val="BalanceSheet"/>
      <sheetName val="CashFlow"/>
      <sheetName val="FOMATED P&amp;L"/>
      <sheetName val="Revenue Breakup"/>
      <sheetName val="Other Equity Note"/>
      <sheetName val="PPE Note"/>
      <sheetName val="WC Note"/>
      <sheetName val="WACC"/>
      <sheetName val="FCFF"/>
      <sheetName val="P&amp;L"/>
    </sheetNames>
    <sheetDataSet>
      <sheetData sheetId="0"/>
      <sheetData sheetId="1"/>
      <sheetData sheetId="2"/>
      <sheetData sheetId="3">
        <row r="2">
          <cell r="B2">
            <v>2021</v>
          </cell>
          <cell r="C2">
            <v>2022</v>
          </cell>
          <cell r="D2">
            <v>2023</v>
          </cell>
          <cell r="E2">
            <v>2024</v>
          </cell>
          <cell r="F2">
            <v>2025</v>
          </cell>
          <cell r="G2" t="str">
            <v>F2026</v>
          </cell>
          <cell r="H2" t="str">
            <v>F2027</v>
          </cell>
          <cell r="I2" t="str">
            <v>F2028</v>
          </cell>
          <cell r="J2" t="str">
            <v>F2029</v>
          </cell>
          <cell r="K2" t="str">
            <v>F2030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5E09-460B-4A3E-8764-F365CA976B06}">
  <dimension ref="A1:L15"/>
  <sheetViews>
    <sheetView showGridLines="0" tabSelected="1" workbookViewId="0">
      <selection activeCell="O19" sqref="O19"/>
    </sheetView>
  </sheetViews>
  <sheetFormatPr defaultRowHeight="15" x14ac:dyDescent="0.25"/>
  <cols>
    <col min="1" max="1" width="24.85546875" bestFit="1" customWidth="1"/>
    <col min="2" max="2" width="27.5703125" bestFit="1" customWidth="1"/>
    <col min="5" max="5" width="43.7109375" bestFit="1" customWidth="1"/>
    <col min="6" max="11" width="3.42578125" customWidth="1"/>
    <col min="12" max="12" width="9.140625" style="3"/>
  </cols>
  <sheetData>
    <row r="1" spans="1:12" ht="15.75" thickBot="1" x14ac:dyDescent="0.3">
      <c r="A1" t="s">
        <v>182</v>
      </c>
      <c r="B1" s="3"/>
      <c r="E1" s="74" t="s">
        <v>192</v>
      </c>
      <c r="F1" s="75"/>
      <c r="G1" s="75"/>
      <c r="H1" s="75"/>
      <c r="I1" s="75"/>
      <c r="J1" s="75"/>
      <c r="K1" s="76"/>
      <c r="L1" s="77" t="s">
        <v>121</v>
      </c>
    </row>
    <row r="2" spans="1:12" x14ac:dyDescent="0.25">
      <c r="A2" s="23" t="s">
        <v>183</v>
      </c>
      <c r="B2" s="24" t="s">
        <v>237</v>
      </c>
      <c r="E2" s="68" t="s">
        <v>193</v>
      </c>
      <c r="F2" s="69"/>
      <c r="G2" s="69"/>
      <c r="H2" s="69"/>
      <c r="I2" s="69"/>
      <c r="J2" s="69"/>
      <c r="K2" s="70"/>
      <c r="L2" s="62">
        <f>L5/'Formated PL'!H35</f>
        <v>474.36228441161666</v>
      </c>
    </row>
    <row r="3" spans="1:12" x14ac:dyDescent="0.25">
      <c r="A3" s="23" t="s">
        <v>184</v>
      </c>
      <c r="B3" s="24">
        <v>519152</v>
      </c>
      <c r="E3" s="68" t="s">
        <v>194</v>
      </c>
      <c r="F3" s="69"/>
      <c r="G3" s="69"/>
      <c r="H3" s="69"/>
      <c r="I3" s="69"/>
      <c r="J3" s="69"/>
      <c r="K3" s="70"/>
      <c r="L3" s="63">
        <v>43.5</v>
      </c>
    </row>
    <row r="4" spans="1:12" x14ac:dyDescent="0.25">
      <c r="A4" s="23" t="s">
        <v>185</v>
      </c>
      <c r="B4" s="24">
        <v>862.58</v>
      </c>
      <c r="E4" s="68" t="s">
        <v>195</v>
      </c>
      <c r="F4" s="69"/>
      <c r="G4" s="69"/>
      <c r="H4" s="69"/>
      <c r="I4" s="69"/>
      <c r="J4" s="69"/>
      <c r="K4" s="70"/>
      <c r="L4" s="62">
        <f>L3*'Formated PL'!H35</f>
        <v>916.92892604121289</v>
      </c>
    </row>
    <row r="5" spans="1:12" x14ac:dyDescent="0.25">
      <c r="A5" s="23" t="s">
        <v>186</v>
      </c>
      <c r="B5" s="24" t="s">
        <v>235</v>
      </c>
      <c r="E5" s="68" t="s">
        <v>196</v>
      </c>
      <c r="F5" s="69"/>
      <c r="G5" s="69"/>
      <c r="H5" s="69"/>
      <c r="I5" s="69"/>
      <c r="J5" s="69"/>
      <c r="K5" s="70"/>
      <c r="L5" s="62">
        <v>9999</v>
      </c>
    </row>
    <row r="6" spans="1:12" ht="15.75" thickBot="1" x14ac:dyDescent="0.3">
      <c r="A6" s="23" t="s">
        <v>187</v>
      </c>
      <c r="B6" s="24" t="s">
        <v>235</v>
      </c>
      <c r="E6" s="68" t="s">
        <v>232</v>
      </c>
      <c r="F6" s="69"/>
      <c r="G6" s="69"/>
      <c r="H6" s="69"/>
      <c r="I6" s="69"/>
      <c r="J6" s="69"/>
      <c r="K6" s="70"/>
      <c r="L6" s="138">
        <f>L4/L5-1</f>
        <v>-0.90829793718959762</v>
      </c>
    </row>
    <row r="7" spans="1:12" x14ac:dyDescent="0.25">
      <c r="A7" s="23" t="s">
        <v>188</v>
      </c>
      <c r="B7" s="24" t="s">
        <v>236</v>
      </c>
      <c r="E7" s="65" t="s">
        <v>197</v>
      </c>
      <c r="F7" s="66"/>
      <c r="G7" s="66"/>
      <c r="H7" s="66"/>
      <c r="I7" s="66"/>
      <c r="J7" s="66"/>
      <c r="K7" s="67"/>
      <c r="L7" s="137">
        <v>12.5</v>
      </c>
    </row>
    <row r="8" spans="1:12" x14ac:dyDescent="0.25">
      <c r="A8" s="23" t="s">
        <v>189</v>
      </c>
      <c r="B8" s="24" t="s">
        <v>233</v>
      </c>
      <c r="E8" s="68" t="s">
        <v>198</v>
      </c>
      <c r="F8" s="69"/>
      <c r="G8" s="69"/>
      <c r="H8" s="69"/>
      <c r="I8" s="69"/>
      <c r="J8" s="69"/>
      <c r="K8" s="70"/>
      <c r="L8" s="62">
        <f>L7*'Formated PL'!H18</f>
        <v>562.69295449999959</v>
      </c>
    </row>
    <row r="9" spans="1:12" x14ac:dyDescent="0.25">
      <c r="A9" s="23" t="s">
        <v>190</v>
      </c>
      <c r="B9" s="24"/>
      <c r="E9" s="68" t="s">
        <v>199</v>
      </c>
      <c r="F9" s="69"/>
      <c r="G9" s="69"/>
      <c r="H9" s="69"/>
      <c r="I9" s="69"/>
      <c r="J9" s="69"/>
      <c r="K9" s="70"/>
      <c r="L9" s="62">
        <f>BS!F42+BS!F35</f>
        <v>45.24</v>
      </c>
    </row>
    <row r="10" spans="1:12" x14ac:dyDescent="0.25">
      <c r="A10" s="23" t="s">
        <v>191</v>
      </c>
      <c r="B10" s="24" t="s">
        <v>234</v>
      </c>
      <c r="E10" s="68" t="s">
        <v>200</v>
      </c>
      <c r="F10" s="69"/>
      <c r="G10" s="69"/>
      <c r="H10" s="69"/>
      <c r="I10" s="69"/>
      <c r="J10" s="69"/>
      <c r="K10" s="70"/>
      <c r="L10" s="62">
        <f>BS!F20</f>
        <v>11.66</v>
      </c>
    </row>
    <row r="11" spans="1:12" ht="15.75" thickBot="1" x14ac:dyDescent="0.3">
      <c r="E11" s="71" t="s">
        <v>201</v>
      </c>
      <c r="F11" s="72"/>
      <c r="G11" s="72"/>
      <c r="H11" s="72"/>
      <c r="I11" s="72"/>
      <c r="J11" s="72"/>
      <c r="K11" s="73"/>
      <c r="L11" s="119">
        <f>L8-L9+L10</f>
        <v>529.11295449999955</v>
      </c>
    </row>
    <row r="12" spans="1:12" x14ac:dyDescent="0.25">
      <c r="E12" s="68" t="s">
        <v>202</v>
      </c>
      <c r="F12" s="69"/>
      <c r="G12" s="69"/>
      <c r="H12" s="69"/>
      <c r="I12" s="69"/>
      <c r="J12" s="69"/>
      <c r="K12" s="70"/>
      <c r="L12" s="62">
        <f>L11/'Formated PL'!H34</f>
        <v>615.24762151162736</v>
      </c>
    </row>
    <row r="13" spans="1:12" ht="15.75" thickBot="1" x14ac:dyDescent="0.3">
      <c r="E13" s="71" t="s">
        <v>203</v>
      </c>
      <c r="F13" s="72"/>
      <c r="G13" s="72"/>
      <c r="H13" s="72"/>
      <c r="I13" s="72"/>
      <c r="J13" s="72"/>
      <c r="K13" s="73"/>
      <c r="L13" s="139">
        <f>L12/L5-1</f>
        <v>-0.93846908475731294</v>
      </c>
    </row>
    <row r="15" spans="1:12" x14ac:dyDescent="0.25">
      <c r="L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1156-3184-4720-89D4-DE7B043F71D5}">
  <dimension ref="A1:K53"/>
  <sheetViews>
    <sheetView showGridLines="0" workbookViewId="0">
      <selection activeCell="N10" sqref="N10"/>
    </sheetView>
  </sheetViews>
  <sheetFormatPr defaultRowHeight="15" x14ac:dyDescent="0.25"/>
  <cols>
    <col min="1" max="1" width="41.42578125" style="2" customWidth="1"/>
    <col min="2" max="6" width="6.5703125" style="3" bestFit="1" customWidth="1"/>
    <col min="7" max="11" width="9.140625" style="3"/>
  </cols>
  <sheetData>
    <row r="1" spans="1:11" s="10" customFormat="1" ht="15.75" thickBot="1" x14ac:dyDescent="0.3">
      <c r="A1" s="29" t="s">
        <v>181</v>
      </c>
      <c r="B1" s="30">
        <f>B26-B53</f>
        <v>0</v>
      </c>
      <c r="C1" s="30">
        <f t="shared" ref="C1:K1" si="0">C26-C53</f>
        <v>0</v>
      </c>
      <c r="D1" s="30">
        <f t="shared" si="0"/>
        <v>0</v>
      </c>
      <c r="E1" s="30">
        <f t="shared" si="0"/>
        <v>0</v>
      </c>
      <c r="F1" s="30">
        <f t="shared" si="0"/>
        <v>0</v>
      </c>
      <c r="G1" s="30">
        <f t="shared" si="0"/>
        <v>1.9999999994979589E-4</v>
      </c>
      <c r="H1" s="30">
        <f t="shared" si="0"/>
        <v>1.9999999994979589E-4</v>
      </c>
      <c r="I1" s="30">
        <f t="shared" si="0"/>
        <v>1.9999999994979589E-4</v>
      </c>
      <c r="J1" s="30">
        <f t="shared" si="0"/>
        <v>1.9999999994979589E-4</v>
      </c>
      <c r="K1" s="30">
        <f t="shared" si="0"/>
        <v>1.9999999989295247E-4</v>
      </c>
    </row>
    <row r="2" spans="1:11" ht="15.75" thickBot="1" x14ac:dyDescent="0.3">
      <c r="A2" s="61" t="s">
        <v>0</v>
      </c>
      <c r="B2" s="58">
        <f>'Formated PL'!B2</f>
        <v>2021</v>
      </c>
      <c r="C2" s="59">
        <f>'Formated PL'!C2</f>
        <v>2022</v>
      </c>
      <c r="D2" s="59">
        <f>'Formated PL'!D2</f>
        <v>2023</v>
      </c>
      <c r="E2" s="59">
        <f>'Formated PL'!E2</f>
        <v>2024</v>
      </c>
      <c r="F2" s="59">
        <f>'Formated PL'!F2</f>
        <v>2025</v>
      </c>
      <c r="G2" s="59" t="str">
        <f>'Formated PL'!G2</f>
        <v>F2026</v>
      </c>
      <c r="H2" s="59" t="str">
        <f>'Formated PL'!H2</f>
        <v>F2027</v>
      </c>
      <c r="I2" s="59" t="str">
        <f>'Formated PL'!I2</f>
        <v>F2028</v>
      </c>
      <c r="J2" s="59" t="str">
        <f>'Formated PL'!J2</f>
        <v>F2029</v>
      </c>
      <c r="K2" s="60" t="str">
        <f>'Formated PL'!K2</f>
        <v>F2030</v>
      </c>
    </row>
    <row r="3" spans="1:11" x14ac:dyDescent="0.25">
      <c r="A3" s="35" t="s">
        <v>1</v>
      </c>
      <c r="B3" s="40"/>
      <c r="C3" s="41"/>
      <c r="D3" s="41"/>
      <c r="E3" s="41"/>
      <c r="F3" s="41"/>
      <c r="G3" s="42"/>
      <c r="H3" s="42"/>
      <c r="I3" s="42"/>
      <c r="J3" s="42"/>
      <c r="K3" s="43"/>
    </row>
    <row r="4" spans="1:11" x14ac:dyDescent="0.25">
      <c r="A4" s="36" t="s">
        <v>2</v>
      </c>
      <c r="B4" s="44"/>
      <c r="C4" s="45" t="s">
        <v>3</v>
      </c>
      <c r="D4" s="45"/>
      <c r="E4" s="45" t="s">
        <v>3</v>
      </c>
      <c r="F4" s="45" t="s">
        <v>3</v>
      </c>
      <c r="G4" s="46"/>
      <c r="H4" s="46"/>
      <c r="I4" s="46"/>
      <c r="J4" s="46"/>
      <c r="K4" s="47"/>
    </row>
    <row r="5" spans="1:11" s="8" customFormat="1" x14ac:dyDescent="0.25">
      <c r="A5" s="37" t="s">
        <v>4</v>
      </c>
      <c r="B5" s="48">
        <v>57.181899999999999</v>
      </c>
      <c r="C5" s="49">
        <v>46.381999999999998</v>
      </c>
      <c r="D5" s="49">
        <v>41.62</v>
      </c>
      <c r="E5" s="49">
        <v>65.75</v>
      </c>
      <c r="F5" s="49">
        <v>94.58</v>
      </c>
      <c r="G5" s="49">
        <f>'PPE NOTE'!E16</f>
        <v>101.49618108439996</v>
      </c>
      <c r="H5" s="49">
        <f>'PPE NOTE'!F16</f>
        <v>108.59928121435097</v>
      </c>
      <c r="I5" s="49">
        <f>'PPE NOTE'!G16</f>
        <v>115.90845959202196</v>
      </c>
      <c r="J5" s="49">
        <f>'PPE NOTE'!H16</f>
        <v>123.44483923780422</v>
      </c>
      <c r="K5" s="50">
        <f>'PPE NOTE'!I16</f>
        <v>131.23170828167915</v>
      </c>
    </row>
    <row r="6" spans="1:11" x14ac:dyDescent="0.25">
      <c r="A6" s="36" t="s">
        <v>5</v>
      </c>
      <c r="B6" s="44">
        <v>3.32E-2</v>
      </c>
      <c r="C6" s="45">
        <v>0.1023</v>
      </c>
      <c r="D6" s="45">
        <v>11.75</v>
      </c>
      <c r="E6" s="45">
        <v>18.79</v>
      </c>
      <c r="F6" s="45">
        <v>18.14</v>
      </c>
      <c r="G6" s="45">
        <v>18.14</v>
      </c>
      <c r="H6" s="45">
        <v>18.14</v>
      </c>
      <c r="I6" s="45">
        <v>18.14</v>
      </c>
      <c r="J6" s="45">
        <v>18.14</v>
      </c>
      <c r="K6" s="51">
        <v>18.14</v>
      </c>
    </row>
    <row r="7" spans="1:11" x14ac:dyDescent="0.25">
      <c r="A7" s="36" t="s">
        <v>6</v>
      </c>
      <c r="B7" s="44">
        <v>1.0854000000000001</v>
      </c>
      <c r="C7" s="45">
        <v>0.93209999999999993</v>
      </c>
      <c r="D7" s="45">
        <v>0.56000000000000005</v>
      </c>
      <c r="E7" s="45">
        <v>0.26</v>
      </c>
      <c r="F7" s="45">
        <v>0.32</v>
      </c>
      <c r="G7" s="45">
        <v>0.32</v>
      </c>
      <c r="H7" s="45">
        <v>0.32</v>
      </c>
      <c r="I7" s="45">
        <v>0.32</v>
      </c>
      <c r="J7" s="45">
        <v>0.32</v>
      </c>
      <c r="K7" s="51">
        <v>0.32</v>
      </c>
    </row>
    <row r="8" spans="1:11" x14ac:dyDescent="0.25">
      <c r="A8" s="36" t="s">
        <v>7</v>
      </c>
      <c r="B8" s="44"/>
      <c r="C8" s="45"/>
      <c r="D8" s="45">
        <v>1.83</v>
      </c>
      <c r="E8" s="45">
        <v>2.2200000000000002</v>
      </c>
      <c r="F8" s="45">
        <v>1.93</v>
      </c>
      <c r="G8" s="45">
        <v>1.93</v>
      </c>
      <c r="H8" s="45">
        <v>1.93</v>
      </c>
      <c r="I8" s="45">
        <v>1.93</v>
      </c>
      <c r="J8" s="45">
        <v>1.93</v>
      </c>
      <c r="K8" s="51">
        <v>1.93</v>
      </c>
    </row>
    <row r="9" spans="1:11" x14ac:dyDescent="0.25">
      <c r="A9" s="36" t="s">
        <v>8</v>
      </c>
      <c r="B9" s="44"/>
      <c r="C9" s="45"/>
      <c r="D9" s="45"/>
      <c r="E9" s="45"/>
      <c r="F9" s="45"/>
      <c r="G9" s="45"/>
      <c r="H9" s="45"/>
      <c r="I9" s="45"/>
      <c r="J9" s="45"/>
      <c r="K9" s="51"/>
    </row>
    <row r="10" spans="1:11" x14ac:dyDescent="0.25">
      <c r="A10" s="36" t="s">
        <v>9</v>
      </c>
      <c r="B10" s="44">
        <v>0.12939999999999999</v>
      </c>
      <c r="C10" s="45">
        <v>0.21260000000000001</v>
      </c>
      <c r="D10" s="45">
        <v>0.28999999999999998</v>
      </c>
      <c r="E10" s="45">
        <v>0.42</v>
      </c>
      <c r="F10" s="45">
        <v>0.42</v>
      </c>
      <c r="G10" s="45">
        <v>0.42</v>
      </c>
      <c r="H10" s="45">
        <v>0.42</v>
      </c>
      <c r="I10" s="45">
        <v>0.42</v>
      </c>
      <c r="J10" s="45">
        <v>0.42</v>
      </c>
      <c r="K10" s="51">
        <v>0.42</v>
      </c>
    </row>
    <row r="11" spans="1:11" x14ac:dyDescent="0.25">
      <c r="A11" s="36" t="s">
        <v>10</v>
      </c>
      <c r="B11" s="44">
        <v>6.2600000000000003E-2</v>
      </c>
      <c r="C11" s="45">
        <v>5.4199999999999998E-2</v>
      </c>
      <c r="D11" s="45">
        <v>0.05</v>
      </c>
      <c r="E11" s="45">
        <v>0.13</v>
      </c>
      <c r="F11" s="45">
        <v>0.24</v>
      </c>
      <c r="G11" s="45">
        <v>0.24</v>
      </c>
      <c r="H11" s="45">
        <v>0.24</v>
      </c>
      <c r="I11" s="45">
        <v>0.24</v>
      </c>
      <c r="J11" s="45">
        <v>0.24</v>
      </c>
      <c r="K11" s="51">
        <v>0.24</v>
      </c>
    </row>
    <row r="12" spans="1:11" x14ac:dyDescent="0.25">
      <c r="A12" s="36" t="s">
        <v>11</v>
      </c>
      <c r="B12" s="44">
        <v>14.216199999999999</v>
      </c>
      <c r="C12" s="45">
        <v>15.257100000000001</v>
      </c>
      <c r="D12" s="45">
        <v>18.82</v>
      </c>
      <c r="E12" s="45">
        <v>19.37</v>
      </c>
      <c r="F12" s="45">
        <v>20.07</v>
      </c>
      <c r="G12" s="45">
        <v>20.07</v>
      </c>
      <c r="H12" s="45">
        <v>20.07</v>
      </c>
      <c r="I12" s="45">
        <v>20.07</v>
      </c>
      <c r="J12" s="45">
        <v>20.07</v>
      </c>
      <c r="K12" s="51">
        <v>20.07</v>
      </c>
    </row>
    <row r="13" spans="1:11" x14ac:dyDescent="0.25">
      <c r="A13" s="36" t="s">
        <v>12</v>
      </c>
      <c r="B13" s="44">
        <v>3.2119999999999997</v>
      </c>
      <c r="C13" s="45">
        <v>3.0849000000000002</v>
      </c>
      <c r="D13" s="45">
        <v>3.9</v>
      </c>
      <c r="E13" s="45">
        <v>3.4</v>
      </c>
      <c r="F13" s="45">
        <v>3.5</v>
      </c>
      <c r="G13" s="45">
        <v>3.5</v>
      </c>
      <c r="H13" s="45">
        <v>3.5</v>
      </c>
      <c r="I13" s="45">
        <v>3.5</v>
      </c>
      <c r="J13" s="45">
        <v>3.5</v>
      </c>
      <c r="K13" s="51">
        <v>3.5</v>
      </c>
    </row>
    <row r="14" spans="1:11" x14ac:dyDescent="0.25">
      <c r="A14" s="36" t="s">
        <v>13</v>
      </c>
      <c r="B14" s="44">
        <v>6.3880999999999997</v>
      </c>
      <c r="C14" s="45">
        <v>5.5394000000000005</v>
      </c>
      <c r="D14" s="45">
        <v>4.24</v>
      </c>
      <c r="E14" s="45">
        <v>3.32</v>
      </c>
      <c r="F14" s="45">
        <v>5.35</v>
      </c>
      <c r="G14" s="45">
        <v>5.35</v>
      </c>
      <c r="H14" s="45">
        <v>5.35</v>
      </c>
      <c r="I14" s="45">
        <v>5.35</v>
      </c>
      <c r="J14" s="45">
        <v>5.35</v>
      </c>
      <c r="K14" s="51">
        <v>5.35</v>
      </c>
    </row>
    <row r="15" spans="1:11" s="11" customFormat="1" x14ac:dyDescent="0.25">
      <c r="A15" s="38" t="s">
        <v>14</v>
      </c>
      <c r="B15" s="52">
        <f>SUM(B5:B14)</f>
        <v>82.308799999999991</v>
      </c>
      <c r="C15" s="53">
        <f t="shared" ref="C15:K15" si="1">SUM(C5:C14)</f>
        <v>71.564599999999999</v>
      </c>
      <c r="D15" s="53">
        <f t="shared" si="1"/>
        <v>83.059999999999988</v>
      </c>
      <c r="E15" s="53">
        <f t="shared" si="1"/>
        <v>113.66</v>
      </c>
      <c r="F15" s="53">
        <f t="shared" si="1"/>
        <v>144.54999999999998</v>
      </c>
      <c r="G15" s="53">
        <f t="shared" si="1"/>
        <v>151.46618108439995</v>
      </c>
      <c r="H15" s="53">
        <f t="shared" si="1"/>
        <v>158.56928121435095</v>
      </c>
      <c r="I15" s="53">
        <f t="shared" si="1"/>
        <v>165.87845959202195</v>
      </c>
      <c r="J15" s="53">
        <f t="shared" si="1"/>
        <v>173.41483923780419</v>
      </c>
      <c r="K15" s="54">
        <f t="shared" si="1"/>
        <v>181.20170828167915</v>
      </c>
    </row>
    <row r="16" spans="1:11" x14ac:dyDescent="0.25">
      <c r="A16" s="36" t="s">
        <v>15</v>
      </c>
      <c r="B16" s="44"/>
      <c r="C16" s="45"/>
      <c r="D16" s="45"/>
      <c r="E16" s="45" t="s">
        <v>3</v>
      </c>
      <c r="F16" s="45" t="s">
        <v>3</v>
      </c>
      <c r="G16" s="45" t="s">
        <v>3</v>
      </c>
      <c r="H16" s="45" t="s">
        <v>3</v>
      </c>
      <c r="I16" s="45" t="s">
        <v>3</v>
      </c>
      <c r="J16" s="45" t="s">
        <v>3</v>
      </c>
      <c r="K16" s="51" t="s">
        <v>3</v>
      </c>
    </row>
    <row r="17" spans="1:11" s="8" customFormat="1" x14ac:dyDescent="0.25">
      <c r="A17" s="37" t="s">
        <v>16</v>
      </c>
      <c r="B17" s="48">
        <v>28.047699999999999</v>
      </c>
      <c r="C17" s="49">
        <v>33.730199999999996</v>
      </c>
      <c r="D17" s="49">
        <v>49.1</v>
      </c>
      <c r="E17" s="49">
        <v>48.12</v>
      </c>
      <c r="F17" s="49">
        <v>41.52</v>
      </c>
      <c r="G17" s="49">
        <f>'WC Note'!G9</f>
        <v>44.649119104727376</v>
      </c>
      <c r="H17" s="49">
        <f>'WC Note'!H9</f>
        <v>49.225653812961937</v>
      </c>
      <c r="I17" s="49">
        <f>'WC Note'!I9</f>
        <v>54.271283328790545</v>
      </c>
      <c r="J17" s="49">
        <f>'WC Note'!J9</f>
        <v>59.834089869991573</v>
      </c>
      <c r="K17" s="50">
        <f>'WC Note'!K9</f>
        <v>65.967084081665703</v>
      </c>
    </row>
    <row r="18" spans="1:11" x14ac:dyDescent="0.25">
      <c r="A18" s="36" t="s">
        <v>8</v>
      </c>
      <c r="B18" s="44"/>
      <c r="C18" s="45"/>
      <c r="D18" s="45"/>
      <c r="E18" s="45"/>
      <c r="F18" s="45"/>
      <c r="G18" s="45"/>
      <c r="H18" s="45"/>
      <c r="I18" s="45"/>
      <c r="J18" s="45"/>
      <c r="K18" s="51"/>
    </row>
    <row r="19" spans="1:11" s="8" customFormat="1" x14ac:dyDescent="0.25">
      <c r="A19" s="37" t="s">
        <v>17</v>
      </c>
      <c r="B19" s="48">
        <v>26.810100000000002</v>
      </c>
      <c r="C19" s="49">
        <v>15.396500000000001</v>
      </c>
      <c r="D19" s="49">
        <v>38.47</v>
      </c>
      <c r="E19" s="49">
        <v>47.99</v>
      </c>
      <c r="F19" s="49">
        <v>57.28</v>
      </c>
      <c r="G19" s="49">
        <f>'WC Note'!G8</f>
        <v>63.151199999999996</v>
      </c>
      <c r="H19" s="49">
        <f>'WC Note'!H8</f>
        <v>69.624198000000007</v>
      </c>
      <c r="I19" s="49">
        <f>'WC Note'!I8</f>
        <v>76.760678295000019</v>
      </c>
      <c r="J19" s="49">
        <f>'WC Note'!J8</f>
        <v>84.628647820237518</v>
      </c>
      <c r="K19" s="50">
        <f>'WC Note'!K8</f>
        <v>93.303084221811872</v>
      </c>
    </row>
    <row r="20" spans="1:11" s="8" customFormat="1" x14ac:dyDescent="0.25">
      <c r="A20" s="37" t="s">
        <v>18</v>
      </c>
      <c r="B20" s="48">
        <v>0.38869999999999999</v>
      </c>
      <c r="C20" s="49">
        <v>5.0838999999999999</v>
      </c>
      <c r="D20" s="49">
        <v>7.04</v>
      </c>
      <c r="E20" s="49">
        <v>6.22</v>
      </c>
      <c r="F20" s="49">
        <v>11.66</v>
      </c>
      <c r="G20" s="49">
        <f>CF!G41</f>
        <v>22.545140593690768</v>
      </c>
      <c r="H20" s="49">
        <f>CF!H41</f>
        <v>34.11043830096807</v>
      </c>
      <c r="I20" s="49">
        <f>CF!I41</f>
        <v>44.329746617253264</v>
      </c>
      <c r="J20" s="49">
        <f>CF!J41</f>
        <v>52.636564737937782</v>
      </c>
      <c r="K20" s="50">
        <f>CF!K41</f>
        <v>58.337759623215291</v>
      </c>
    </row>
    <row r="21" spans="1:11" x14ac:dyDescent="0.25">
      <c r="A21" s="36" t="s">
        <v>19</v>
      </c>
      <c r="B21" s="44">
        <v>0.54500000000000004</v>
      </c>
      <c r="C21" s="45">
        <v>2.0736000000000003</v>
      </c>
      <c r="D21" s="45">
        <v>2.0499999999999998</v>
      </c>
      <c r="E21" s="45">
        <v>0.67</v>
      </c>
      <c r="F21" s="45">
        <v>10.6</v>
      </c>
      <c r="G21" s="45">
        <v>10.6</v>
      </c>
      <c r="H21" s="45">
        <v>10.6</v>
      </c>
      <c r="I21" s="45">
        <v>10.6</v>
      </c>
      <c r="J21" s="45">
        <v>10.6</v>
      </c>
      <c r="K21" s="51">
        <v>10.6</v>
      </c>
    </row>
    <row r="22" spans="1:11" x14ac:dyDescent="0.25">
      <c r="A22" s="36" t="s">
        <v>10</v>
      </c>
      <c r="B22" s="44">
        <v>9.4499999999999987E-2</v>
      </c>
      <c r="C22" s="45">
        <v>0.13970000000000002</v>
      </c>
      <c r="D22" s="45">
        <v>0.12</v>
      </c>
      <c r="E22" s="45">
        <v>0.19</v>
      </c>
      <c r="F22" s="45">
        <v>0.32</v>
      </c>
      <c r="G22" s="45">
        <v>0.32</v>
      </c>
      <c r="H22" s="45">
        <v>0.32</v>
      </c>
      <c r="I22" s="45">
        <v>0.32</v>
      </c>
      <c r="J22" s="45">
        <v>0.32</v>
      </c>
      <c r="K22" s="51">
        <v>0.32</v>
      </c>
    </row>
    <row r="23" spans="1:11" x14ac:dyDescent="0.25">
      <c r="A23" s="36" t="s">
        <v>11</v>
      </c>
      <c r="B23" s="44">
        <v>0.2014</v>
      </c>
      <c r="C23" s="45">
        <v>0.18</v>
      </c>
      <c r="D23" s="45">
        <v>0.18</v>
      </c>
      <c r="E23" s="45">
        <v>0.28000000000000003</v>
      </c>
      <c r="F23" s="45">
        <v>0.39</v>
      </c>
      <c r="G23" s="45">
        <v>0.39</v>
      </c>
      <c r="H23" s="45">
        <v>0.39</v>
      </c>
      <c r="I23" s="45">
        <v>0.39</v>
      </c>
      <c r="J23" s="45">
        <v>0.39</v>
      </c>
      <c r="K23" s="51">
        <v>0.39</v>
      </c>
    </row>
    <row r="24" spans="1:11" x14ac:dyDescent="0.25">
      <c r="A24" s="36" t="s">
        <v>20</v>
      </c>
      <c r="B24" s="44">
        <v>5.4621000000000004</v>
      </c>
      <c r="C24" s="45">
        <v>5.3026999999999997</v>
      </c>
      <c r="D24" s="45">
        <v>10.65</v>
      </c>
      <c r="E24" s="45">
        <v>13.66</v>
      </c>
      <c r="F24" s="45">
        <v>14.24</v>
      </c>
      <c r="G24" s="45">
        <v>14.24</v>
      </c>
      <c r="H24" s="45">
        <v>14.24</v>
      </c>
      <c r="I24" s="45">
        <v>14.24</v>
      </c>
      <c r="J24" s="45">
        <v>14.24</v>
      </c>
      <c r="K24" s="51">
        <v>14.24</v>
      </c>
    </row>
    <row r="25" spans="1:11" s="11" customFormat="1" x14ac:dyDescent="0.25">
      <c r="A25" s="38" t="s">
        <v>21</v>
      </c>
      <c r="B25" s="52">
        <f>SUM(B17:B24)</f>
        <v>61.549499999999995</v>
      </c>
      <c r="C25" s="53">
        <f t="shared" ref="C25:K25" si="2">SUM(C17:C24)</f>
        <v>61.906599999999997</v>
      </c>
      <c r="D25" s="53">
        <f t="shared" si="2"/>
        <v>107.61000000000001</v>
      </c>
      <c r="E25" s="53">
        <f t="shared" si="2"/>
        <v>117.13</v>
      </c>
      <c r="F25" s="53">
        <f t="shared" si="2"/>
        <v>136.01</v>
      </c>
      <c r="G25" s="53">
        <f t="shared" si="2"/>
        <v>155.89545969841814</v>
      </c>
      <c r="H25" s="53">
        <f t="shared" si="2"/>
        <v>178.51029011392998</v>
      </c>
      <c r="I25" s="53">
        <f t="shared" si="2"/>
        <v>200.91170824104378</v>
      </c>
      <c r="J25" s="53">
        <f t="shared" si="2"/>
        <v>222.64930242816686</v>
      </c>
      <c r="K25" s="54">
        <f t="shared" si="2"/>
        <v>243.15792792669285</v>
      </c>
    </row>
    <row r="26" spans="1:11" s="11" customFormat="1" x14ac:dyDescent="0.25">
      <c r="A26" s="38" t="s">
        <v>22</v>
      </c>
      <c r="B26" s="52">
        <f>B25+B15</f>
        <v>143.85829999999999</v>
      </c>
      <c r="C26" s="53">
        <f t="shared" ref="C26:K26" si="3">C25+C15</f>
        <v>133.47120000000001</v>
      </c>
      <c r="D26" s="53">
        <f t="shared" si="3"/>
        <v>190.67000000000002</v>
      </c>
      <c r="E26" s="53">
        <f t="shared" si="3"/>
        <v>230.79</v>
      </c>
      <c r="F26" s="53">
        <f t="shared" si="3"/>
        <v>280.55999999999995</v>
      </c>
      <c r="G26" s="53">
        <f t="shared" si="3"/>
        <v>307.36164078281809</v>
      </c>
      <c r="H26" s="53">
        <f t="shared" si="3"/>
        <v>337.07957132828096</v>
      </c>
      <c r="I26" s="53">
        <f t="shared" si="3"/>
        <v>366.79016783306577</v>
      </c>
      <c r="J26" s="53">
        <f t="shared" si="3"/>
        <v>396.06414166597108</v>
      </c>
      <c r="K26" s="54">
        <f t="shared" si="3"/>
        <v>424.35963620837197</v>
      </c>
    </row>
    <row r="27" spans="1:11" x14ac:dyDescent="0.25">
      <c r="A27" s="36" t="s">
        <v>23</v>
      </c>
      <c r="B27" s="44"/>
      <c r="C27" s="45"/>
      <c r="D27" s="45"/>
      <c r="E27" s="45"/>
      <c r="F27" s="45"/>
      <c r="G27" s="45"/>
      <c r="H27" s="45"/>
      <c r="I27" s="45"/>
      <c r="J27" s="45"/>
      <c r="K27" s="51"/>
    </row>
    <row r="28" spans="1:11" x14ac:dyDescent="0.25">
      <c r="A28" s="36" t="s">
        <v>24</v>
      </c>
      <c r="B28" s="44"/>
      <c r="C28" s="45"/>
      <c r="D28" s="45"/>
      <c r="E28" s="45" t="s">
        <v>3</v>
      </c>
      <c r="F28" s="45" t="s">
        <v>3</v>
      </c>
      <c r="G28" s="45" t="s">
        <v>3</v>
      </c>
      <c r="H28" s="45" t="s">
        <v>3</v>
      </c>
      <c r="I28" s="45" t="s">
        <v>3</v>
      </c>
      <c r="J28" s="45" t="s">
        <v>3</v>
      </c>
      <c r="K28" s="51" t="s">
        <v>3</v>
      </c>
    </row>
    <row r="29" spans="1:11" x14ac:dyDescent="0.25">
      <c r="A29" s="36" t="s">
        <v>25</v>
      </c>
      <c r="B29" s="44">
        <v>0.86269999999999991</v>
      </c>
      <c r="C29" s="45">
        <v>0.86269999999999991</v>
      </c>
      <c r="D29" s="45">
        <v>0.86</v>
      </c>
      <c r="E29" s="45">
        <v>0.86</v>
      </c>
      <c r="F29" s="45">
        <v>0.86</v>
      </c>
      <c r="G29" s="45">
        <v>0.86</v>
      </c>
      <c r="H29" s="45">
        <v>0.86</v>
      </c>
      <c r="I29" s="45">
        <v>0.86</v>
      </c>
      <c r="J29" s="45">
        <v>0.86</v>
      </c>
      <c r="K29" s="51">
        <v>0.86</v>
      </c>
    </row>
    <row r="30" spans="1:11" s="8" customFormat="1" x14ac:dyDescent="0.25">
      <c r="A30" s="37" t="s">
        <v>26</v>
      </c>
      <c r="B30" s="48">
        <v>2.7236000000000002</v>
      </c>
      <c r="C30" s="49">
        <v>4.4238999999999997</v>
      </c>
      <c r="D30" s="49">
        <v>10.199999999999999</v>
      </c>
      <c r="E30" s="49">
        <v>17.2</v>
      </c>
      <c r="F30" s="49">
        <v>21.41</v>
      </c>
      <c r="G30" s="49">
        <f>'Other Equity'!G5</f>
        <v>40.286901431611923</v>
      </c>
      <c r="H30" s="49">
        <f>'Other Equity'!H5</f>
        <v>58.414691693576131</v>
      </c>
      <c r="I30" s="49">
        <f>'Other Equity'!I5</f>
        <v>75.347158535803686</v>
      </c>
      <c r="J30" s="49">
        <f>'Other Equity'!J5</f>
        <v>90.533244415739603</v>
      </c>
      <c r="K30" s="50">
        <f>'Other Equity'!K5</f>
        <v>103.29684248999183</v>
      </c>
    </row>
    <row r="31" spans="1:11" s="11" customFormat="1" x14ac:dyDescent="0.25">
      <c r="A31" s="38" t="s">
        <v>27</v>
      </c>
      <c r="B31" s="52">
        <f>SUM(B29:B30)</f>
        <v>3.5863</v>
      </c>
      <c r="C31" s="53">
        <f t="shared" ref="C31:K31" si="4">SUM(C29:C30)</f>
        <v>5.2866</v>
      </c>
      <c r="D31" s="53">
        <f t="shared" si="4"/>
        <v>11.059999999999999</v>
      </c>
      <c r="E31" s="53">
        <f t="shared" si="4"/>
        <v>18.059999999999999</v>
      </c>
      <c r="F31" s="53">
        <f t="shared" si="4"/>
        <v>22.27</v>
      </c>
      <c r="G31" s="53">
        <f t="shared" si="4"/>
        <v>41.146901431611923</v>
      </c>
      <c r="H31" s="53">
        <f t="shared" si="4"/>
        <v>59.274691693576131</v>
      </c>
      <c r="I31" s="53">
        <f t="shared" si="4"/>
        <v>76.207158535803686</v>
      </c>
      <c r="J31" s="53">
        <f t="shared" si="4"/>
        <v>91.393244415739602</v>
      </c>
      <c r="K31" s="54">
        <f t="shared" si="4"/>
        <v>104.15684248999183</v>
      </c>
    </row>
    <row r="32" spans="1:11" x14ac:dyDescent="0.25">
      <c r="A32" s="36" t="s">
        <v>28</v>
      </c>
      <c r="B32" s="44"/>
      <c r="C32" s="45"/>
      <c r="D32" s="45"/>
      <c r="E32" s="45" t="s">
        <v>3</v>
      </c>
      <c r="F32" s="45" t="s">
        <v>3</v>
      </c>
      <c r="G32" s="45" t="s">
        <v>3</v>
      </c>
      <c r="H32" s="45" t="s">
        <v>3</v>
      </c>
      <c r="I32" s="45" t="s">
        <v>3</v>
      </c>
      <c r="J32" s="45" t="s">
        <v>3</v>
      </c>
      <c r="K32" s="51" t="s">
        <v>3</v>
      </c>
    </row>
    <row r="33" spans="1:11" x14ac:dyDescent="0.25">
      <c r="A33" s="36" t="s">
        <v>29</v>
      </c>
      <c r="B33" s="44"/>
      <c r="C33" s="45"/>
      <c r="D33" s="45"/>
      <c r="E33" s="45" t="s">
        <v>3</v>
      </c>
      <c r="F33" s="45" t="s">
        <v>3</v>
      </c>
      <c r="G33" s="45" t="s">
        <v>3</v>
      </c>
      <c r="H33" s="45" t="s">
        <v>3</v>
      </c>
      <c r="I33" s="45" t="s">
        <v>3</v>
      </c>
      <c r="J33" s="45" t="s">
        <v>3</v>
      </c>
      <c r="K33" s="51" t="s">
        <v>3</v>
      </c>
    </row>
    <row r="34" spans="1:11" x14ac:dyDescent="0.25">
      <c r="A34" s="36" t="s">
        <v>30</v>
      </c>
      <c r="B34" s="44"/>
      <c r="C34" s="45"/>
      <c r="D34" s="45"/>
      <c r="E34" s="45" t="s">
        <v>3</v>
      </c>
      <c r="F34" s="45" t="s">
        <v>3</v>
      </c>
      <c r="G34" s="45" t="s">
        <v>3</v>
      </c>
      <c r="H34" s="45" t="s">
        <v>3</v>
      </c>
      <c r="I34" s="45" t="s">
        <v>3</v>
      </c>
      <c r="J34" s="45" t="s">
        <v>3</v>
      </c>
      <c r="K34" s="51" t="s">
        <v>3</v>
      </c>
    </row>
    <row r="35" spans="1:11" x14ac:dyDescent="0.25">
      <c r="A35" s="36" t="s">
        <v>31</v>
      </c>
      <c r="B35" s="44">
        <v>2.347</v>
      </c>
      <c r="C35" s="45">
        <v>2.8398000000000003</v>
      </c>
      <c r="D35" s="45">
        <v>2.72</v>
      </c>
      <c r="E35" s="45">
        <v>16.21</v>
      </c>
      <c r="F35" s="45">
        <v>29.73</v>
      </c>
      <c r="G35" s="45">
        <v>29.73</v>
      </c>
      <c r="H35" s="45">
        <v>29.73</v>
      </c>
      <c r="I35" s="45">
        <v>29.73</v>
      </c>
      <c r="J35" s="45">
        <v>29.73</v>
      </c>
      <c r="K35" s="51">
        <v>29.73</v>
      </c>
    </row>
    <row r="36" spans="1:11" x14ac:dyDescent="0.25">
      <c r="A36" s="36" t="s">
        <v>32</v>
      </c>
      <c r="B36" s="44"/>
      <c r="C36" s="45"/>
      <c r="D36" s="45">
        <v>1.78</v>
      </c>
      <c r="E36" s="45">
        <v>2.23</v>
      </c>
      <c r="F36" s="45">
        <v>2</v>
      </c>
      <c r="G36" s="45">
        <v>2</v>
      </c>
      <c r="H36" s="45">
        <v>2</v>
      </c>
      <c r="I36" s="45">
        <v>2</v>
      </c>
      <c r="J36" s="45">
        <v>2</v>
      </c>
      <c r="K36" s="51">
        <v>2</v>
      </c>
    </row>
    <row r="37" spans="1:11" x14ac:dyDescent="0.25">
      <c r="A37" s="36" t="s">
        <v>38</v>
      </c>
      <c r="B37" s="44">
        <v>7.0999999999999994E-2</v>
      </c>
      <c r="C37" s="45">
        <v>4.5999999999999999E-2</v>
      </c>
      <c r="D37" s="45">
        <v>0.02</v>
      </c>
      <c r="E37" s="45"/>
      <c r="F37" s="45"/>
      <c r="G37" s="45"/>
      <c r="H37" s="45"/>
      <c r="I37" s="45"/>
      <c r="J37" s="45"/>
      <c r="K37" s="51"/>
    </row>
    <row r="38" spans="1:11" x14ac:dyDescent="0.25">
      <c r="A38" s="36" t="s">
        <v>33</v>
      </c>
      <c r="B38" s="44">
        <v>0.94209999999999994</v>
      </c>
      <c r="C38" s="45">
        <v>1.2293000000000001</v>
      </c>
      <c r="D38" s="45">
        <v>0.93</v>
      </c>
      <c r="E38" s="45"/>
      <c r="F38" s="45">
        <v>0.46</v>
      </c>
      <c r="G38" s="45">
        <v>0.46</v>
      </c>
      <c r="H38" s="45">
        <v>0.46</v>
      </c>
      <c r="I38" s="45">
        <v>0.46</v>
      </c>
      <c r="J38" s="45">
        <v>0.46</v>
      </c>
      <c r="K38" s="51">
        <v>0.46</v>
      </c>
    </row>
    <row r="39" spans="1:11" s="11" customFormat="1" x14ac:dyDescent="0.25">
      <c r="A39" s="38" t="s">
        <v>34</v>
      </c>
      <c r="B39" s="52">
        <f>SUM(B34:B38)</f>
        <v>3.3601000000000001</v>
      </c>
      <c r="C39" s="53">
        <f t="shared" ref="C39:K39" si="5">SUM(C34:C38)</f>
        <v>4.1151</v>
      </c>
      <c r="D39" s="53">
        <f t="shared" si="5"/>
        <v>5.4499999999999993</v>
      </c>
      <c r="E39" s="53">
        <f t="shared" si="5"/>
        <v>18.440000000000001</v>
      </c>
      <c r="F39" s="53">
        <f t="shared" si="5"/>
        <v>32.19</v>
      </c>
      <c r="G39" s="53">
        <f t="shared" si="5"/>
        <v>32.19</v>
      </c>
      <c r="H39" s="53">
        <f t="shared" si="5"/>
        <v>32.19</v>
      </c>
      <c r="I39" s="53">
        <f t="shared" si="5"/>
        <v>32.19</v>
      </c>
      <c r="J39" s="53">
        <f t="shared" si="5"/>
        <v>32.19</v>
      </c>
      <c r="K39" s="54">
        <f t="shared" si="5"/>
        <v>32.19</v>
      </c>
    </row>
    <row r="40" spans="1:11" x14ac:dyDescent="0.25">
      <c r="A40" s="36" t="s">
        <v>35</v>
      </c>
      <c r="B40" s="44"/>
      <c r="C40" s="45"/>
      <c r="D40" s="45"/>
      <c r="E40" s="45" t="s">
        <v>3</v>
      </c>
      <c r="F40" s="45" t="s">
        <v>3</v>
      </c>
      <c r="G40" s="45" t="s">
        <v>3</v>
      </c>
      <c r="H40" s="45" t="s">
        <v>3</v>
      </c>
      <c r="I40" s="45" t="s">
        <v>3</v>
      </c>
      <c r="J40" s="45" t="s">
        <v>3</v>
      </c>
      <c r="K40" s="51" t="s">
        <v>3</v>
      </c>
    </row>
    <row r="41" spans="1:11" x14ac:dyDescent="0.25">
      <c r="A41" s="36" t="s">
        <v>30</v>
      </c>
      <c r="B41" s="44"/>
      <c r="C41" s="45"/>
      <c r="D41" s="45"/>
      <c r="E41" s="45" t="s">
        <v>3</v>
      </c>
      <c r="F41" s="45" t="s">
        <v>3</v>
      </c>
      <c r="G41" s="45" t="s">
        <v>3</v>
      </c>
      <c r="H41" s="45" t="s">
        <v>3</v>
      </c>
      <c r="I41" s="45" t="s">
        <v>3</v>
      </c>
      <c r="J41" s="45" t="s">
        <v>3</v>
      </c>
      <c r="K41" s="51" t="s">
        <v>3</v>
      </c>
    </row>
    <row r="42" spans="1:11" x14ac:dyDescent="0.25">
      <c r="A42" s="36" t="s">
        <v>31</v>
      </c>
      <c r="B42" s="44">
        <v>10.206300000000001</v>
      </c>
      <c r="C42" s="45">
        <v>3.1531000000000002</v>
      </c>
      <c r="D42" s="45">
        <v>2.64</v>
      </c>
      <c r="E42" s="45">
        <v>9.73</v>
      </c>
      <c r="F42" s="45">
        <v>15.51</v>
      </c>
      <c r="G42" s="45">
        <v>15.51</v>
      </c>
      <c r="H42" s="45">
        <v>15.51</v>
      </c>
      <c r="I42" s="45">
        <v>15.51</v>
      </c>
      <c r="J42" s="45">
        <v>15.51</v>
      </c>
      <c r="K42" s="51">
        <v>15.51</v>
      </c>
    </row>
    <row r="43" spans="1:11" x14ac:dyDescent="0.25">
      <c r="A43" s="36" t="s">
        <v>32</v>
      </c>
      <c r="B43" s="44"/>
      <c r="C43" s="45"/>
      <c r="D43" s="45">
        <v>0.13</v>
      </c>
      <c r="E43" s="45">
        <v>0.18</v>
      </c>
      <c r="F43" s="45">
        <v>0.23</v>
      </c>
      <c r="G43" s="45">
        <v>0.23</v>
      </c>
      <c r="H43" s="45">
        <v>0.23</v>
      </c>
      <c r="I43" s="45">
        <v>0.23</v>
      </c>
      <c r="J43" s="45">
        <v>0.23</v>
      </c>
      <c r="K43" s="51">
        <v>0.23</v>
      </c>
    </row>
    <row r="44" spans="1:11" x14ac:dyDescent="0.25">
      <c r="A44" s="36" t="s">
        <v>36</v>
      </c>
      <c r="B44" s="44"/>
      <c r="C44" s="45"/>
      <c r="D44" s="45"/>
      <c r="E44" s="45"/>
      <c r="F44" s="45"/>
      <c r="G44" s="45"/>
      <c r="H44" s="45"/>
      <c r="I44" s="45"/>
      <c r="J44" s="45"/>
      <c r="K44" s="51"/>
    </row>
    <row r="45" spans="1:11" ht="30" x14ac:dyDescent="0.25">
      <c r="A45" s="36" t="s">
        <v>37</v>
      </c>
      <c r="B45" s="44">
        <v>2.87E-2</v>
      </c>
      <c r="C45" s="45">
        <v>0.15740000000000001</v>
      </c>
      <c r="D45" s="45">
        <v>0.15</v>
      </c>
      <c r="E45" s="45">
        <v>0.05</v>
      </c>
      <c r="F45" s="45">
        <v>0.23</v>
      </c>
      <c r="G45" s="45">
        <v>0.23</v>
      </c>
      <c r="H45" s="45">
        <v>0.23</v>
      </c>
      <c r="I45" s="45">
        <v>0.23</v>
      </c>
      <c r="J45" s="45">
        <v>0.23</v>
      </c>
      <c r="K45" s="51">
        <v>0.23</v>
      </c>
    </row>
    <row r="46" spans="1:11" s="8" customFormat="1" ht="45" x14ac:dyDescent="0.25">
      <c r="A46" s="37" t="s">
        <v>109</v>
      </c>
      <c r="B46" s="48">
        <v>38.472700000000003</v>
      </c>
      <c r="C46" s="49">
        <v>50.334499999999998</v>
      </c>
      <c r="D46" s="49">
        <v>88.24</v>
      </c>
      <c r="E46" s="49">
        <v>90.81</v>
      </c>
      <c r="F46" s="49">
        <v>105.15</v>
      </c>
      <c r="G46" s="49">
        <f>'WC Note'!G10</f>
        <v>113.07453935120623</v>
      </c>
      <c r="H46" s="49">
        <f>'WC Note'!H10</f>
        <v>124.6646796347049</v>
      </c>
      <c r="I46" s="49">
        <f>'WC Note'!I10</f>
        <v>137.44280929726213</v>
      </c>
      <c r="J46" s="49">
        <f>'WC Note'!J10</f>
        <v>151.53069725023153</v>
      </c>
      <c r="K46" s="50">
        <f>'WC Note'!K10</f>
        <v>167.06259371838024</v>
      </c>
    </row>
    <row r="47" spans="1:11" x14ac:dyDescent="0.25">
      <c r="A47" s="36" t="s">
        <v>38</v>
      </c>
      <c r="B47" s="44">
        <v>80.5184</v>
      </c>
      <c r="C47" s="45">
        <v>61.370200000000004</v>
      </c>
      <c r="D47" s="45">
        <v>73.67</v>
      </c>
      <c r="E47" s="45">
        <v>86.81</v>
      </c>
      <c r="F47" s="45">
        <v>97.57</v>
      </c>
      <c r="G47" s="45">
        <v>97.57</v>
      </c>
      <c r="H47" s="45">
        <v>97.57</v>
      </c>
      <c r="I47" s="45">
        <v>97.57</v>
      </c>
      <c r="J47" s="45">
        <v>97.57</v>
      </c>
      <c r="K47" s="51">
        <v>97.57</v>
      </c>
    </row>
    <row r="48" spans="1:11" x14ac:dyDescent="0.25">
      <c r="A48" s="36" t="s">
        <v>33</v>
      </c>
      <c r="B48" s="44">
        <v>2.4662000000000002</v>
      </c>
      <c r="C48" s="45">
        <v>2.3915000000000002</v>
      </c>
      <c r="D48" s="45">
        <v>3.03</v>
      </c>
      <c r="E48" s="45">
        <v>1.9</v>
      </c>
      <c r="F48" s="45">
        <v>2.52</v>
      </c>
      <c r="G48" s="45">
        <v>2.52</v>
      </c>
      <c r="H48" s="45">
        <v>2.52</v>
      </c>
      <c r="I48" s="45">
        <v>2.52</v>
      </c>
      <c r="J48" s="45">
        <v>2.52</v>
      </c>
      <c r="K48" s="51">
        <v>2.52</v>
      </c>
    </row>
    <row r="49" spans="1:11" x14ac:dyDescent="0.25">
      <c r="A49" s="36" t="s">
        <v>39</v>
      </c>
      <c r="B49" s="44">
        <v>0.56409999999999993</v>
      </c>
      <c r="C49" s="45" t="s">
        <v>3</v>
      </c>
      <c r="D49" s="45">
        <v>2.2599999999999998</v>
      </c>
      <c r="E49" s="45">
        <v>0.43</v>
      </c>
      <c r="F49" s="45"/>
      <c r="G49" s="45"/>
      <c r="H49" s="45"/>
      <c r="I49" s="45"/>
      <c r="J49" s="45"/>
      <c r="K49" s="51"/>
    </row>
    <row r="50" spans="1:11" x14ac:dyDescent="0.25">
      <c r="A50" s="36" t="s">
        <v>40</v>
      </c>
      <c r="B50" s="44">
        <v>4.6555</v>
      </c>
      <c r="C50" s="45">
        <v>6.6627999999999998</v>
      </c>
      <c r="D50" s="45">
        <v>4.04</v>
      </c>
      <c r="E50" s="45">
        <v>4.38</v>
      </c>
      <c r="F50" s="45">
        <v>4.8899999999999997</v>
      </c>
      <c r="G50" s="45">
        <v>4.8899999999999997</v>
      </c>
      <c r="H50" s="45">
        <v>4.8899999999999997</v>
      </c>
      <c r="I50" s="45">
        <v>4.8899999999999997</v>
      </c>
      <c r="J50" s="45">
        <v>4.8899999999999997</v>
      </c>
      <c r="K50" s="51">
        <v>4.8899999999999997</v>
      </c>
    </row>
    <row r="51" spans="1:11" s="11" customFormat="1" x14ac:dyDescent="0.25">
      <c r="A51" s="38" t="s">
        <v>41</v>
      </c>
      <c r="B51" s="52">
        <f>SUM(B42:B50)</f>
        <v>136.91189999999997</v>
      </c>
      <c r="C51" s="53">
        <f t="shared" ref="C51:K51" si="6">SUM(C42:C50)</f>
        <v>124.06949999999999</v>
      </c>
      <c r="D51" s="53">
        <f t="shared" si="6"/>
        <v>174.15999999999997</v>
      </c>
      <c r="E51" s="53">
        <f t="shared" si="6"/>
        <v>194.29000000000002</v>
      </c>
      <c r="F51" s="53">
        <f t="shared" si="6"/>
        <v>226.1</v>
      </c>
      <c r="G51" s="53">
        <f t="shared" si="6"/>
        <v>234.02453935120622</v>
      </c>
      <c r="H51" s="53">
        <f t="shared" si="6"/>
        <v>245.61467963470488</v>
      </c>
      <c r="I51" s="53">
        <f t="shared" si="6"/>
        <v>258.39280929726215</v>
      </c>
      <c r="J51" s="53">
        <f t="shared" si="6"/>
        <v>272.48069725023151</v>
      </c>
      <c r="K51" s="54">
        <f t="shared" si="6"/>
        <v>288.01259371838023</v>
      </c>
    </row>
    <row r="52" spans="1:11" s="11" customFormat="1" x14ac:dyDescent="0.25">
      <c r="A52" s="38" t="s">
        <v>110</v>
      </c>
      <c r="B52" s="52">
        <f>B51+B39</f>
        <v>140.27199999999996</v>
      </c>
      <c r="C52" s="53">
        <f t="shared" ref="C52:K52" si="7">C51+C39</f>
        <v>128.18459999999999</v>
      </c>
      <c r="D52" s="53">
        <f t="shared" si="7"/>
        <v>179.60999999999996</v>
      </c>
      <c r="E52" s="53">
        <f t="shared" si="7"/>
        <v>212.73000000000002</v>
      </c>
      <c r="F52" s="53">
        <f t="shared" si="7"/>
        <v>258.28999999999996</v>
      </c>
      <c r="G52" s="53">
        <f t="shared" si="7"/>
        <v>266.21453935120621</v>
      </c>
      <c r="H52" s="53">
        <f t="shared" si="7"/>
        <v>277.80467963470488</v>
      </c>
      <c r="I52" s="53">
        <f t="shared" si="7"/>
        <v>290.58280929726214</v>
      </c>
      <c r="J52" s="53">
        <f t="shared" si="7"/>
        <v>304.67069725023151</v>
      </c>
      <c r="K52" s="54">
        <f t="shared" si="7"/>
        <v>320.20259371838023</v>
      </c>
    </row>
    <row r="53" spans="1:11" s="11" customFormat="1" ht="15.75" thickBot="1" x14ac:dyDescent="0.3">
      <c r="A53" s="39" t="s">
        <v>42</v>
      </c>
      <c r="B53" s="55">
        <f>B52+B31</f>
        <v>143.85829999999996</v>
      </c>
      <c r="C53" s="56">
        <f t="shared" ref="C53:K53" si="8">C52+C31</f>
        <v>133.47119999999998</v>
      </c>
      <c r="D53" s="56">
        <f t="shared" si="8"/>
        <v>190.66999999999996</v>
      </c>
      <c r="E53" s="56">
        <f t="shared" si="8"/>
        <v>230.79000000000002</v>
      </c>
      <c r="F53" s="56">
        <f t="shared" si="8"/>
        <v>280.55999999999995</v>
      </c>
      <c r="G53" s="56">
        <f t="shared" si="8"/>
        <v>307.36144078281814</v>
      </c>
      <c r="H53" s="56">
        <f t="shared" si="8"/>
        <v>337.07937132828101</v>
      </c>
      <c r="I53" s="56">
        <f t="shared" si="8"/>
        <v>366.78996783306582</v>
      </c>
      <c r="J53" s="56">
        <f t="shared" si="8"/>
        <v>396.06394166597113</v>
      </c>
      <c r="K53" s="57">
        <f t="shared" si="8"/>
        <v>424.35943620837207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085E7-186E-4E63-A70A-BEDEFFC18D95}">
  <dimension ref="A1:K41"/>
  <sheetViews>
    <sheetView showGridLines="0" workbookViewId="0">
      <selection activeCell="G22" sqref="G22"/>
    </sheetView>
  </sheetViews>
  <sheetFormatPr defaultRowHeight="15" x14ac:dyDescent="0.25"/>
  <cols>
    <col min="1" max="1" width="82.7109375" bestFit="1" customWidth="1"/>
    <col min="2" max="11" width="8.140625" customWidth="1"/>
  </cols>
  <sheetData>
    <row r="1" spans="1:11" x14ac:dyDescent="0.25">
      <c r="A1" t="s">
        <v>0</v>
      </c>
      <c r="B1" s="3">
        <f>'Formated PL'!B2</f>
        <v>2021</v>
      </c>
      <c r="C1" s="3">
        <f>'Formated PL'!C2</f>
        <v>2022</v>
      </c>
      <c r="D1" s="3">
        <f>'Formated PL'!D2</f>
        <v>2023</v>
      </c>
      <c r="E1" s="3">
        <f>'Formated PL'!E2</f>
        <v>2024</v>
      </c>
      <c r="F1" s="3">
        <f>'Formated PL'!F2</f>
        <v>2025</v>
      </c>
      <c r="G1" s="3" t="str">
        <f>'Formated PL'!G2</f>
        <v>F2026</v>
      </c>
      <c r="H1" s="3" t="str">
        <f>'Formated PL'!H2</f>
        <v>F2027</v>
      </c>
      <c r="I1" s="3" t="str">
        <f>'Formated PL'!I2</f>
        <v>F2028</v>
      </c>
      <c r="J1" s="3" t="str">
        <f>'Formated PL'!J2</f>
        <v>F2029</v>
      </c>
      <c r="K1" s="3" t="str">
        <f>'Formated PL'!K2</f>
        <v>F2030</v>
      </c>
    </row>
    <row r="2" spans="1:11" x14ac:dyDescent="0.25">
      <c r="A2" t="s">
        <v>70</v>
      </c>
      <c r="B2" s="3"/>
      <c r="C2" s="3"/>
      <c r="D2" s="3"/>
      <c r="E2" s="3"/>
      <c r="F2" s="3"/>
    </row>
    <row r="3" spans="1:11" s="8" customFormat="1" x14ac:dyDescent="0.25">
      <c r="A3" s="8" t="s">
        <v>71</v>
      </c>
      <c r="B3" s="9">
        <v>1.2279</v>
      </c>
      <c r="C3" s="9">
        <v>3.0011000000000001</v>
      </c>
      <c r="D3" s="9">
        <v>8.6</v>
      </c>
      <c r="E3" s="9">
        <v>10.050000000000001</v>
      </c>
      <c r="F3" s="9">
        <v>7.62</v>
      </c>
      <c r="G3" s="9">
        <f>'Formated PL'!G31</f>
        <v>18.87690143161192</v>
      </c>
      <c r="H3" s="9">
        <f>'Formated PL'!H31</f>
        <v>18.127790261964208</v>
      </c>
      <c r="I3" s="9">
        <f>'Formated PL'!I31</f>
        <v>16.932466842227562</v>
      </c>
      <c r="J3" s="9">
        <f>'Formated PL'!J31</f>
        <v>15.186085879935911</v>
      </c>
      <c r="K3" s="9">
        <f>'Formated PL'!K31</f>
        <v>12.763598074252226</v>
      </c>
    </row>
    <row r="4" spans="1:11" x14ac:dyDescent="0.25">
      <c r="A4" t="s">
        <v>72</v>
      </c>
      <c r="B4" s="1"/>
      <c r="C4" s="1"/>
      <c r="D4" s="1" t="s">
        <v>3</v>
      </c>
      <c r="E4" s="1" t="s">
        <v>3</v>
      </c>
      <c r="F4" s="1" t="s">
        <v>3</v>
      </c>
      <c r="G4" s="1"/>
      <c r="H4" s="1"/>
      <c r="I4" s="1"/>
      <c r="J4" s="1"/>
      <c r="K4" s="1"/>
    </row>
    <row r="5" spans="1:11" s="8" customFormat="1" x14ac:dyDescent="0.25">
      <c r="A5" s="8" t="s">
        <v>73</v>
      </c>
      <c r="B5" s="9">
        <v>13.27</v>
      </c>
      <c r="C5" s="9">
        <v>11.74</v>
      </c>
      <c r="D5" s="9">
        <v>11.07</v>
      </c>
      <c r="E5" s="9">
        <v>12.4</v>
      </c>
      <c r="F5" s="9">
        <v>16.13</v>
      </c>
      <c r="G5" s="9">
        <f>'PPE NOTE'!E11</f>
        <v>17.760414915599995</v>
      </c>
      <c r="H5" s="9">
        <f>'PPE NOTE'!F11</f>
        <v>20.102846960048996</v>
      </c>
      <c r="I5" s="9">
        <f>'PPE NOTE'!G11</f>
        <v>22.685378289054018</v>
      </c>
      <c r="J5" s="9">
        <f>'PPE NOTE'!H11</f>
        <v>25.532619079282057</v>
      </c>
      <c r="K5" s="9">
        <f>'PPE NOTE'!I11</f>
        <v>28.671702050508465</v>
      </c>
    </row>
    <row r="6" spans="1:11" x14ac:dyDescent="0.25">
      <c r="A6" t="s">
        <v>74</v>
      </c>
      <c r="B6" s="1">
        <v>0.48</v>
      </c>
      <c r="C6" s="1">
        <v>-0.52</v>
      </c>
      <c r="D6" s="1">
        <v>0.22</v>
      </c>
      <c r="E6" s="1">
        <v>0.76</v>
      </c>
      <c r="F6" s="1">
        <v>0.93</v>
      </c>
      <c r="G6" s="1"/>
      <c r="H6" s="1"/>
      <c r="I6" s="1"/>
      <c r="J6" s="1"/>
      <c r="K6" s="1"/>
    </row>
    <row r="7" spans="1:11" x14ac:dyDescent="0.25">
      <c r="A7" t="s">
        <v>75</v>
      </c>
      <c r="B7" s="1">
        <v>-1.8</v>
      </c>
      <c r="C7" s="1">
        <v>-1.24</v>
      </c>
      <c r="D7" s="1">
        <v>-1.66</v>
      </c>
      <c r="E7" s="1">
        <v>-1.1599999999999999</v>
      </c>
      <c r="F7" s="1">
        <v>-1.57</v>
      </c>
      <c r="G7" s="1"/>
      <c r="H7" s="1"/>
      <c r="I7" s="1"/>
      <c r="J7" s="1"/>
      <c r="K7" s="1"/>
    </row>
    <row r="8" spans="1:11" x14ac:dyDescent="0.25">
      <c r="A8" t="s">
        <v>49</v>
      </c>
      <c r="B8" s="1">
        <v>4.83</v>
      </c>
      <c r="C8" s="1">
        <v>2.17</v>
      </c>
      <c r="D8" s="1">
        <v>1.34</v>
      </c>
      <c r="E8" s="1">
        <v>3.5</v>
      </c>
      <c r="F8" s="1">
        <v>6.14</v>
      </c>
      <c r="G8" s="1"/>
      <c r="H8" s="1"/>
      <c r="I8" s="1"/>
      <c r="J8" s="1"/>
      <c r="K8" s="1"/>
    </row>
    <row r="9" spans="1:11" x14ac:dyDescent="0.25">
      <c r="A9" t="s">
        <v>76</v>
      </c>
      <c r="B9" s="1">
        <v>-0.09</v>
      </c>
      <c r="C9" s="1">
        <v>-0.05</v>
      </c>
      <c r="D9" s="1">
        <v>-1.06</v>
      </c>
      <c r="E9" s="1">
        <v>-1.07</v>
      </c>
      <c r="F9" s="1">
        <v>-2.13</v>
      </c>
      <c r="G9" s="1"/>
      <c r="H9" s="1"/>
      <c r="I9" s="1"/>
      <c r="J9" s="1"/>
      <c r="K9" s="1"/>
    </row>
    <row r="10" spans="1:11" x14ac:dyDescent="0.25">
      <c r="A10" t="s">
        <v>77</v>
      </c>
      <c r="B10" s="1">
        <v>-0.01</v>
      </c>
      <c r="C10" s="1">
        <v>-0.08</v>
      </c>
      <c r="D10" s="1">
        <v>-0.08</v>
      </c>
      <c r="E10" s="1">
        <v>-0.12</v>
      </c>
      <c r="F10" s="1"/>
      <c r="G10" s="1"/>
      <c r="H10" s="1"/>
      <c r="I10" s="1"/>
      <c r="J10" s="1"/>
      <c r="K10" s="1"/>
    </row>
    <row r="11" spans="1:11" x14ac:dyDescent="0.25">
      <c r="A11" t="s">
        <v>78</v>
      </c>
      <c r="B11" s="1"/>
      <c r="C11" s="1"/>
      <c r="D11" s="1"/>
      <c r="E11" s="1">
        <v>0.49</v>
      </c>
      <c r="F11" s="1">
        <v>0.04</v>
      </c>
      <c r="G11" s="1"/>
      <c r="H11" s="1"/>
      <c r="I11" s="1"/>
      <c r="J11" s="1"/>
      <c r="K11" s="1"/>
    </row>
    <row r="12" spans="1:11" x14ac:dyDescent="0.25">
      <c r="A12" t="s">
        <v>79</v>
      </c>
      <c r="B12" s="1">
        <v>-1.47</v>
      </c>
      <c r="C12" s="1">
        <v>-1.76</v>
      </c>
      <c r="D12" s="1">
        <v>-8.83</v>
      </c>
      <c r="E12" s="1">
        <v>-9</v>
      </c>
      <c r="F12" s="1">
        <v>-1.32</v>
      </c>
      <c r="G12" s="1"/>
      <c r="H12" s="1"/>
      <c r="I12" s="1"/>
      <c r="J12" s="1"/>
      <c r="K12" s="1"/>
    </row>
    <row r="13" spans="1:11" x14ac:dyDescent="0.25">
      <c r="A13" t="s">
        <v>80</v>
      </c>
      <c r="B13" s="1">
        <v>-0.16</v>
      </c>
      <c r="C13" s="1">
        <v>-0.47</v>
      </c>
      <c r="D13" s="1">
        <v>-0.25</v>
      </c>
      <c r="E13" s="1"/>
      <c r="F13" s="1">
        <v>-0.19</v>
      </c>
      <c r="G13" s="1"/>
      <c r="H13" s="1"/>
      <c r="I13" s="1"/>
      <c r="J13" s="1"/>
      <c r="K13" s="1"/>
    </row>
    <row r="14" spans="1:11" x14ac:dyDescent="0.25">
      <c r="A14" t="s">
        <v>81</v>
      </c>
      <c r="B14" s="1">
        <v>-0.5</v>
      </c>
      <c r="C14" s="1">
        <v>-0.36</v>
      </c>
      <c r="D14" s="1">
        <v>-0.68</v>
      </c>
      <c r="E14" s="1">
        <v>-0.87</v>
      </c>
      <c r="F14" s="1">
        <v>-0.99</v>
      </c>
      <c r="G14" s="1"/>
      <c r="H14" s="1"/>
      <c r="I14" s="1"/>
      <c r="J14" s="1"/>
      <c r="K14" s="1"/>
    </row>
    <row r="15" spans="1:11" x14ac:dyDescent="0.25">
      <c r="A15" t="s">
        <v>82</v>
      </c>
      <c r="B15" s="1">
        <v>0.02</v>
      </c>
      <c r="C15" s="1">
        <v>0.16</v>
      </c>
      <c r="D15" s="1">
        <v>0.28999999999999998</v>
      </c>
      <c r="E15" s="1">
        <v>0.04</v>
      </c>
      <c r="F15" s="1">
        <v>0.55000000000000004</v>
      </c>
      <c r="G15" s="1"/>
      <c r="H15" s="1"/>
      <c r="I15" s="1"/>
      <c r="J15" s="1"/>
      <c r="K15" s="1"/>
    </row>
    <row r="16" spans="1:11" s="11" customFormat="1" x14ac:dyDescent="0.25">
      <c r="B16" s="28">
        <f t="shared" ref="B16:E16" si="0">SUM(B5:B15)</f>
        <v>14.569999999999999</v>
      </c>
      <c r="C16" s="28">
        <f t="shared" si="0"/>
        <v>9.59</v>
      </c>
      <c r="D16" s="28">
        <f t="shared" si="0"/>
        <v>0.35999999999999993</v>
      </c>
      <c r="E16" s="28">
        <f t="shared" si="0"/>
        <v>4.9700000000000006</v>
      </c>
      <c r="F16" s="28">
        <f>SUM(F5:F15)</f>
        <v>17.59</v>
      </c>
      <c r="G16" s="28">
        <f t="shared" ref="G16:H16" si="1">SUM(G5:G15)</f>
        <v>17.760414915599995</v>
      </c>
      <c r="H16" s="28">
        <f t="shared" si="1"/>
        <v>20.102846960048996</v>
      </c>
      <c r="I16" s="28">
        <f t="shared" ref="I16" si="2">SUM(I5:I15)</f>
        <v>22.685378289054018</v>
      </c>
      <c r="J16" s="28">
        <f t="shared" ref="J16" si="3">SUM(J5:J15)</f>
        <v>25.532619079282057</v>
      </c>
      <c r="K16" s="28">
        <f t="shared" ref="K16" si="4">SUM(K5:K15)</f>
        <v>28.671702050508465</v>
      </c>
    </row>
    <row r="17" spans="1:11" s="11" customFormat="1" x14ac:dyDescent="0.25">
      <c r="A17" s="11" t="s">
        <v>83</v>
      </c>
      <c r="B17" s="28">
        <f t="shared" ref="B17:E17" si="5">B16+B3</f>
        <v>15.797899999999998</v>
      </c>
      <c r="C17" s="28">
        <f t="shared" si="5"/>
        <v>12.591100000000001</v>
      </c>
      <c r="D17" s="28">
        <f t="shared" si="5"/>
        <v>8.9599999999999991</v>
      </c>
      <c r="E17" s="28">
        <f t="shared" si="5"/>
        <v>15.020000000000001</v>
      </c>
      <c r="F17" s="28">
        <f>F16+F3</f>
        <v>25.21</v>
      </c>
      <c r="G17" s="28">
        <f t="shared" ref="G17:H17" si="6">G16+G3</f>
        <v>36.637316347211915</v>
      </c>
      <c r="H17" s="28">
        <f t="shared" si="6"/>
        <v>38.2306372220132</v>
      </c>
      <c r="I17" s="28">
        <f t="shared" ref="I17" si="7">I16+I3</f>
        <v>39.617845131281584</v>
      </c>
      <c r="J17" s="28">
        <f t="shared" ref="J17" si="8">J16+J3</f>
        <v>40.718704959217966</v>
      </c>
      <c r="K17" s="28">
        <f t="shared" ref="K17" si="9">K16+K3</f>
        <v>41.435300124760687</v>
      </c>
    </row>
    <row r="18" spans="1:11" x14ac:dyDescent="0.25">
      <c r="A18" t="s">
        <v>107</v>
      </c>
      <c r="B18" s="1"/>
      <c r="C18" s="1"/>
      <c r="D18" s="1" t="s">
        <v>3</v>
      </c>
      <c r="E18" s="1" t="s">
        <v>3</v>
      </c>
      <c r="F18" s="1" t="s">
        <v>3</v>
      </c>
      <c r="G18" s="1"/>
      <c r="H18" s="1"/>
      <c r="I18" s="1"/>
      <c r="J18" s="1"/>
      <c r="K18" s="1"/>
    </row>
    <row r="19" spans="1:11" s="8" customFormat="1" x14ac:dyDescent="0.25">
      <c r="A19" s="8" t="s">
        <v>84</v>
      </c>
      <c r="B19" s="9">
        <v>-2.69</v>
      </c>
      <c r="C19" s="9">
        <f>'WC Note'!B9-'WC Note'!C9</f>
        <v>-5.6824999999999974</v>
      </c>
      <c r="D19" s="9">
        <f>'WC Note'!C9-'WC Note'!D9</f>
        <v>-15.369800000000005</v>
      </c>
      <c r="E19" s="9">
        <f>'WC Note'!D9-'WC Note'!E9</f>
        <v>0.98000000000000398</v>
      </c>
      <c r="F19" s="9">
        <f>'WC Note'!E9-'WC Note'!F9</f>
        <v>6.5999999999999943</v>
      </c>
      <c r="G19" s="9">
        <f>'WC Note'!F9-'WC Note'!G9</f>
        <v>-3.1291191047273728</v>
      </c>
      <c r="H19" s="9">
        <f>'WC Note'!G9-'WC Note'!H9</f>
        <v>-4.5765347082345613</v>
      </c>
      <c r="I19" s="9">
        <f>'WC Note'!H9-'WC Note'!I9</f>
        <v>-5.0456295158286082</v>
      </c>
      <c r="J19" s="9">
        <f>'WC Note'!I9-'WC Note'!J9</f>
        <v>-5.5628065412010272</v>
      </c>
      <c r="K19" s="9">
        <f>'WC Note'!J9-'WC Note'!K9</f>
        <v>-6.1329942116741307</v>
      </c>
    </row>
    <row r="20" spans="1:11" s="8" customFormat="1" x14ac:dyDescent="0.25">
      <c r="A20" s="8" t="s">
        <v>85</v>
      </c>
      <c r="B20" s="9">
        <v>3.35</v>
      </c>
      <c r="C20" s="9">
        <v>11.25</v>
      </c>
      <c r="D20" s="9">
        <v>-12.13</v>
      </c>
      <c r="E20" s="9">
        <v>-10.67</v>
      </c>
      <c r="F20" s="9">
        <v>-22.33</v>
      </c>
      <c r="G20" s="9">
        <f>'WC Note'!F8-'WC Note'!G8</f>
        <v>-5.8711999999999946</v>
      </c>
      <c r="H20" s="9">
        <f>'WC Note'!G8-'WC Note'!H8</f>
        <v>-6.4729980000000111</v>
      </c>
      <c r="I20" s="9">
        <f>'WC Note'!H8-'WC Note'!I8</f>
        <v>-7.1364802950000126</v>
      </c>
      <c r="J20" s="9">
        <f>'WC Note'!I8-'WC Note'!J8</f>
        <v>-7.8679695252374984</v>
      </c>
      <c r="K20" s="9">
        <f>'WC Note'!J8-'WC Note'!K8</f>
        <v>-8.6744364015743542</v>
      </c>
    </row>
    <row r="21" spans="1:11" s="8" customFormat="1" x14ac:dyDescent="0.25">
      <c r="A21" s="8" t="s">
        <v>86</v>
      </c>
      <c r="B21" s="9">
        <v>-1.54</v>
      </c>
      <c r="C21" s="9">
        <v>7.41</v>
      </c>
      <c r="D21" s="9">
        <v>26.67</v>
      </c>
      <c r="E21" s="9">
        <v>15.72</v>
      </c>
      <c r="F21" s="9">
        <v>25.25</v>
      </c>
      <c r="G21" s="9">
        <f>'WC Note'!G10-'WC Note'!F10</f>
        <v>7.9245393512062208</v>
      </c>
      <c r="H21" s="9">
        <f>'WC Note'!H10-'WC Note'!G10</f>
        <v>11.59014028349867</v>
      </c>
      <c r="I21" s="9">
        <f>'WC Note'!I10-'WC Note'!H10</f>
        <v>12.778129662557234</v>
      </c>
      <c r="J21" s="9">
        <f>'WC Note'!J10-'WC Note'!I10</f>
        <v>14.087887952969396</v>
      </c>
      <c r="K21" s="9">
        <f>'WC Note'!K10-'WC Note'!J10</f>
        <v>15.531896468148716</v>
      </c>
    </row>
    <row r="22" spans="1:11" s="11" customFormat="1" x14ac:dyDescent="0.25">
      <c r="A22" s="11" t="s">
        <v>87</v>
      </c>
      <c r="B22" s="28">
        <f t="shared" ref="B22:E22" si="10">SUM(B19:B21)</f>
        <v>-0.87999999999999989</v>
      </c>
      <c r="C22" s="28">
        <f t="shared" si="10"/>
        <v>12.977500000000003</v>
      </c>
      <c r="D22" s="28">
        <f t="shared" si="10"/>
        <v>-0.82980000000000587</v>
      </c>
      <c r="E22" s="28">
        <f t="shared" si="10"/>
        <v>6.0300000000000047</v>
      </c>
      <c r="F22" s="28">
        <f>SUM(F19:F21)</f>
        <v>9.519999999999996</v>
      </c>
      <c r="G22" s="28">
        <f t="shared" ref="G22:H22" si="11">SUM(G19:G21)</f>
        <v>-1.0757797535211466</v>
      </c>
      <c r="H22" s="28">
        <f t="shared" si="11"/>
        <v>0.54060757526409731</v>
      </c>
      <c r="I22" s="28">
        <f t="shared" ref="I22" si="12">SUM(I19:I21)</f>
        <v>0.59601985172861305</v>
      </c>
      <c r="J22" s="28">
        <f t="shared" ref="J22" si="13">SUM(J19:J21)</f>
        <v>0.65711188653087049</v>
      </c>
      <c r="K22" s="28">
        <f t="shared" ref="K22" si="14">SUM(K19:K21)</f>
        <v>0.72446585490023097</v>
      </c>
    </row>
    <row r="23" spans="1:11" x14ac:dyDescent="0.25">
      <c r="A23" t="s">
        <v>88</v>
      </c>
      <c r="B23" s="1">
        <v>-0.15</v>
      </c>
      <c r="C23" s="1">
        <v>-1.18</v>
      </c>
      <c r="D23" s="1">
        <v>-1</v>
      </c>
      <c r="E23" s="1">
        <v>-3.72</v>
      </c>
      <c r="F23" s="1">
        <v>-2.63</v>
      </c>
      <c r="G23" s="1"/>
      <c r="H23" s="1"/>
      <c r="I23" s="1"/>
      <c r="J23" s="1"/>
      <c r="K23" s="1"/>
    </row>
    <row r="24" spans="1:11" s="11" customFormat="1" x14ac:dyDescent="0.25">
      <c r="A24" s="11" t="s">
        <v>89</v>
      </c>
      <c r="B24" s="28">
        <f t="shared" ref="B24:E24" si="15">SUM(B22:B23,B17)</f>
        <v>14.767899999999999</v>
      </c>
      <c r="C24" s="28">
        <f t="shared" si="15"/>
        <v>24.388600000000004</v>
      </c>
      <c r="D24" s="28">
        <f t="shared" si="15"/>
        <v>7.1301999999999932</v>
      </c>
      <c r="E24" s="28">
        <f t="shared" si="15"/>
        <v>17.330000000000005</v>
      </c>
      <c r="F24" s="28">
        <f>SUM(F22:F23,F17)</f>
        <v>32.099999999999994</v>
      </c>
      <c r="G24" s="28">
        <f t="shared" ref="G24:H24" si="16">SUM(G22:G23,G17)</f>
        <v>35.561536593690768</v>
      </c>
      <c r="H24" s="28">
        <f t="shared" si="16"/>
        <v>38.771244797277298</v>
      </c>
      <c r="I24" s="28">
        <f t="shared" ref="I24" si="17">SUM(I22:I23,I17)</f>
        <v>40.213864983010197</v>
      </c>
      <c r="J24" s="28">
        <f t="shared" ref="J24" si="18">SUM(J22:J23,J17)</f>
        <v>41.375816845748837</v>
      </c>
      <c r="K24" s="28">
        <f t="shared" ref="K24" si="19">SUM(K22:K23,K17)</f>
        <v>42.159765979660918</v>
      </c>
    </row>
    <row r="25" spans="1:11" x14ac:dyDescent="0.25">
      <c r="A25" t="s">
        <v>90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s="8" customFormat="1" x14ac:dyDescent="0.25">
      <c r="A26" s="8" t="s">
        <v>91</v>
      </c>
      <c r="B26" s="9">
        <v>-3.99</v>
      </c>
      <c r="C26" s="9">
        <v>-13.38</v>
      </c>
      <c r="D26" s="9">
        <v>-6.63</v>
      </c>
      <c r="E26" s="9">
        <v>-38.200000000000003</v>
      </c>
      <c r="F26" s="9">
        <v>-43.96</v>
      </c>
      <c r="G26" s="9">
        <f>-'PPE NOTE'!E4</f>
        <v>-24.676595999999996</v>
      </c>
      <c r="H26" s="9">
        <f>-'PPE NOTE'!F4</f>
        <v>-27.205947089999999</v>
      </c>
      <c r="I26" s="9">
        <f>-'PPE NOTE'!G4</f>
        <v>-29.994556666725003</v>
      </c>
      <c r="J26" s="9">
        <f>-'PPE NOTE'!H4</f>
        <v>-33.068998725064318</v>
      </c>
      <c r="K26" s="9">
        <f>-'PPE NOTE'!I4</f>
        <v>-36.458571094383409</v>
      </c>
    </row>
    <row r="27" spans="1:11" x14ac:dyDescent="0.25">
      <c r="A27" t="s">
        <v>92</v>
      </c>
      <c r="B27" s="1">
        <v>3.41</v>
      </c>
      <c r="C27" s="1">
        <v>2.84</v>
      </c>
      <c r="D27" s="1">
        <v>2.2599999999999998</v>
      </c>
      <c r="E27" s="1">
        <v>1.83</v>
      </c>
      <c r="F27" s="1">
        <v>1.78</v>
      </c>
      <c r="G27" s="1"/>
      <c r="H27" s="1"/>
      <c r="I27" s="1"/>
      <c r="J27" s="1"/>
      <c r="K27" s="1"/>
    </row>
    <row r="28" spans="1:11" x14ac:dyDescent="0.25">
      <c r="A28" t="s">
        <v>93</v>
      </c>
      <c r="B28" s="1">
        <v>0.09</v>
      </c>
      <c r="C28" s="1">
        <v>0.05</v>
      </c>
      <c r="D28" s="1">
        <v>1.06</v>
      </c>
      <c r="E28" s="1">
        <v>1.06</v>
      </c>
      <c r="F28" s="1">
        <v>2.13</v>
      </c>
      <c r="G28" s="1"/>
      <c r="H28" s="1"/>
      <c r="I28" s="1"/>
      <c r="J28" s="1"/>
      <c r="K28" s="1"/>
    </row>
    <row r="29" spans="1:11" x14ac:dyDescent="0.25">
      <c r="A29" t="s">
        <v>94</v>
      </c>
      <c r="B29" s="1">
        <v>1.82</v>
      </c>
      <c r="C29" s="1">
        <v>0.26</v>
      </c>
      <c r="D29" s="1">
        <v>0.31</v>
      </c>
      <c r="E29" s="1">
        <v>0.27</v>
      </c>
      <c r="F29" s="1">
        <v>0.62</v>
      </c>
      <c r="G29" s="1"/>
      <c r="H29" s="1"/>
      <c r="I29" s="1"/>
      <c r="J29" s="1"/>
      <c r="K29" s="1"/>
    </row>
    <row r="30" spans="1:11" s="11" customFormat="1" x14ac:dyDescent="0.25">
      <c r="A30" s="11" t="s">
        <v>95</v>
      </c>
      <c r="B30" s="28">
        <f t="shared" ref="B30:E30" si="20">SUM(B26:B29)</f>
        <v>1.33</v>
      </c>
      <c r="C30" s="28">
        <f t="shared" si="20"/>
        <v>-10.23</v>
      </c>
      <c r="D30" s="28">
        <f t="shared" si="20"/>
        <v>-3</v>
      </c>
      <c r="E30" s="28">
        <f t="shared" si="20"/>
        <v>-35.04</v>
      </c>
      <c r="F30" s="28">
        <f>SUM(F26:F29)</f>
        <v>-39.43</v>
      </c>
      <c r="G30" s="28">
        <f t="shared" ref="G30:H30" si="21">SUM(G26:G29)</f>
        <v>-24.676595999999996</v>
      </c>
      <c r="H30" s="28">
        <f t="shared" si="21"/>
        <v>-27.205947089999999</v>
      </c>
      <c r="I30" s="28">
        <f t="shared" ref="I30" si="22">SUM(I26:I29)</f>
        <v>-29.994556666725003</v>
      </c>
      <c r="J30" s="28">
        <f t="shared" ref="J30" si="23">SUM(J26:J29)</f>
        <v>-33.068998725064318</v>
      </c>
      <c r="K30" s="28">
        <f t="shared" ref="K30" si="24">SUM(K26:K29)</f>
        <v>-36.458571094383409</v>
      </c>
    </row>
    <row r="31" spans="1:11" x14ac:dyDescent="0.25">
      <c r="A31" t="s">
        <v>96</v>
      </c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t="s">
        <v>105</v>
      </c>
      <c r="B32" s="1">
        <v>1.57</v>
      </c>
      <c r="C32" s="1">
        <v>3.22</v>
      </c>
      <c r="D32" s="1">
        <v>3.94</v>
      </c>
      <c r="E32" s="1">
        <v>26.75</v>
      </c>
      <c r="F32" s="1">
        <v>45.88</v>
      </c>
      <c r="G32" s="1"/>
      <c r="H32" s="1"/>
      <c r="I32" s="1"/>
      <c r="J32" s="1"/>
      <c r="K32" s="1"/>
    </row>
    <row r="33" spans="1:11" x14ac:dyDescent="0.25">
      <c r="A33" t="s">
        <v>97</v>
      </c>
      <c r="B33" s="1">
        <v>-5.32</v>
      </c>
      <c r="C33" s="1">
        <v>-7.69</v>
      </c>
      <c r="D33" s="1">
        <v>-5.5</v>
      </c>
      <c r="E33" s="1">
        <v>-5.47</v>
      </c>
      <c r="F33" s="1">
        <v>-25.91</v>
      </c>
      <c r="G33" s="1"/>
      <c r="H33" s="1"/>
      <c r="I33" s="1"/>
      <c r="J33" s="1"/>
      <c r="K33" s="1"/>
    </row>
    <row r="34" spans="1:11" x14ac:dyDescent="0.25">
      <c r="A34" t="s">
        <v>106</v>
      </c>
      <c r="B34" s="1">
        <v>-8.4700000000000006</v>
      </c>
      <c r="C34" s="1">
        <v>-2.12</v>
      </c>
      <c r="D34" s="1">
        <v>0.93</v>
      </c>
      <c r="E34" s="1">
        <v>-0.53</v>
      </c>
      <c r="F34" s="1">
        <v>-0.56000000000000005</v>
      </c>
      <c r="G34" s="1"/>
      <c r="H34" s="1"/>
      <c r="I34" s="1"/>
      <c r="J34" s="1"/>
      <c r="K34" s="1"/>
    </row>
    <row r="35" spans="1:11" x14ac:dyDescent="0.25">
      <c r="A35" t="s">
        <v>98</v>
      </c>
      <c r="B35" s="1"/>
      <c r="C35" s="1"/>
      <c r="D35" s="1">
        <v>-0.09</v>
      </c>
      <c r="E35" s="1">
        <v>-0.16</v>
      </c>
      <c r="F35" s="1">
        <v>-0.18</v>
      </c>
      <c r="G35" s="1"/>
      <c r="H35" s="1"/>
      <c r="I35" s="1"/>
      <c r="J35" s="1"/>
      <c r="K35" s="1"/>
    </row>
    <row r="36" spans="1:11" x14ac:dyDescent="0.25">
      <c r="A36" t="s">
        <v>99</v>
      </c>
      <c r="B36" s="1">
        <v>-4.16</v>
      </c>
      <c r="C36" s="1">
        <v>-2.88</v>
      </c>
      <c r="D36" s="1">
        <v>-1.34</v>
      </c>
      <c r="E36" s="1">
        <v>-3.57</v>
      </c>
      <c r="F36" s="1">
        <v>-6.33</v>
      </c>
      <c r="G36" s="1"/>
      <c r="H36" s="1"/>
      <c r="I36" s="1"/>
      <c r="J36" s="1"/>
      <c r="K36" s="1"/>
    </row>
    <row r="37" spans="1:11" x14ac:dyDescent="0.25">
      <c r="A37" t="s">
        <v>100</v>
      </c>
      <c r="B37" s="1"/>
      <c r="C37" s="1"/>
      <c r="D37" s="1">
        <v>-0.11</v>
      </c>
      <c r="E37" s="1">
        <v>-0.13</v>
      </c>
      <c r="F37" s="1">
        <v>-0.13</v>
      </c>
      <c r="G37" s="1"/>
      <c r="H37" s="1"/>
      <c r="I37" s="1"/>
      <c r="J37" s="1"/>
      <c r="K37" s="1"/>
    </row>
    <row r="38" spans="1:11" s="11" customFormat="1" x14ac:dyDescent="0.25">
      <c r="A38" s="11" t="s">
        <v>101</v>
      </c>
      <c r="B38" s="28">
        <f t="shared" ref="B38:E38" si="25">SUM(B32:B37)</f>
        <v>-16.380000000000003</v>
      </c>
      <c r="C38" s="28">
        <f t="shared" si="25"/>
        <v>-9.4700000000000006</v>
      </c>
      <c r="D38" s="28">
        <f t="shared" si="25"/>
        <v>-2.17</v>
      </c>
      <c r="E38" s="28">
        <f t="shared" si="25"/>
        <v>16.89</v>
      </c>
      <c r="F38" s="28">
        <f>SUM(F32:F37)</f>
        <v>12.770000000000003</v>
      </c>
      <c r="G38" s="28">
        <f t="shared" ref="G38:H38" si="26">SUM(G32:G37)</f>
        <v>0</v>
      </c>
      <c r="H38" s="28">
        <f t="shared" si="26"/>
        <v>0</v>
      </c>
      <c r="I38" s="28">
        <f t="shared" ref="I38" si="27">SUM(I32:I37)</f>
        <v>0</v>
      </c>
      <c r="J38" s="28">
        <f t="shared" ref="J38" si="28">SUM(J32:J37)</f>
        <v>0</v>
      </c>
      <c r="K38" s="28">
        <f t="shared" ref="K38" si="29">SUM(K32:K37)</f>
        <v>0</v>
      </c>
    </row>
    <row r="39" spans="1:11" s="11" customFormat="1" x14ac:dyDescent="0.25">
      <c r="A39" s="11" t="s">
        <v>102</v>
      </c>
      <c r="B39" s="28">
        <f t="shared" ref="B39:E39" si="30">B38+B30+B24</f>
        <v>-0.28210000000000335</v>
      </c>
      <c r="C39" s="28">
        <f t="shared" si="30"/>
        <v>4.688600000000001</v>
      </c>
      <c r="D39" s="28">
        <f t="shared" si="30"/>
        <v>1.9601999999999933</v>
      </c>
      <c r="E39" s="28">
        <f t="shared" si="30"/>
        <v>-0.81999999999999318</v>
      </c>
      <c r="F39" s="28">
        <f>F38+F30+F24</f>
        <v>5.4399999999999977</v>
      </c>
      <c r="G39" s="28">
        <f t="shared" ref="G39:H39" si="31">G38+G30+G24</f>
        <v>10.884940593690771</v>
      </c>
      <c r="H39" s="28">
        <f t="shared" si="31"/>
        <v>11.565297707277299</v>
      </c>
      <c r="I39" s="28">
        <f t="shared" ref="I39" si="32">I38+I30+I24</f>
        <v>10.219308316285193</v>
      </c>
      <c r="J39" s="28">
        <f t="shared" ref="J39" si="33">J38+J30+J24</f>
        <v>8.3068181206845182</v>
      </c>
      <c r="K39" s="28">
        <f t="shared" ref="K39" si="34">K38+K30+K24</f>
        <v>5.7011948852775092</v>
      </c>
    </row>
    <row r="40" spans="1:11" x14ac:dyDescent="0.25">
      <c r="A40" t="s">
        <v>103</v>
      </c>
      <c r="B40" s="1">
        <v>0.68</v>
      </c>
      <c r="C40" s="1">
        <f>B41</f>
        <v>0.3978999999999967</v>
      </c>
      <c r="D40" s="1">
        <v>5.08</v>
      </c>
      <c r="E40" s="1">
        <f t="shared" ref="E40:K40" si="35">D41</f>
        <v>7.0401999999999934</v>
      </c>
      <c r="F40" s="1">
        <f t="shared" si="35"/>
        <v>6.2202000000000002</v>
      </c>
      <c r="G40" s="1">
        <f t="shared" si="35"/>
        <v>11.660199999999998</v>
      </c>
      <c r="H40" s="1">
        <f t="shared" si="35"/>
        <v>22.545140593690768</v>
      </c>
      <c r="I40" s="1">
        <f t="shared" si="35"/>
        <v>34.11043830096807</v>
      </c>
      <c r="J40" s="1">
        <f t="shared" si="35"/>
        <v>44.329746617253264</v>
      </c>
      <c r="K40" s="1">
        <f t="shared" si="35"/>
        <v>52.636564737937782</v>
      </c>
    </row>
    <row r="41" spans="1:11" s="11" customFormat="1" x14ac:dyDescent="0.25">
      <c r="A41" s="11" t="s">
        <v>104</v>
      </c>
      <c r="B41" s="28">
        <f>SUM(B39:B40)</f>
        <v>0.3978999999999967</v>
      </c>
      <c r="C41" s="28">
        <f t="shared" ref="C41:F41" si="36">SUM(C39:C40)</f>
        <v>5.0864999999999974</v>
      </c>
      <c r="D41" s="28">
        <f t="shared" si="36"/>
        <v>7.0401999999999934</v>
      </c>
      <c r="E41" s="28">
        <f t="shared" si="36"/>
        <v>6.2202000000000002</v>
      </c>
      <c r="F41" s="28">
        <f t="shared" si="36"/>
        <v>11.660199999999998</v>
      </c>
      <c r="G41" s="28">
        <f t="shared" ref="G41:H41" si="37">SUM(G39:G40)</f>
        <v>22.545140593690768</v>
      </c>
      <c r="H41" s="28">
        <f t="shared" si="37"/>
        <v>34.11043830096807</v>
      </c>
      <c r="I41" s="28">
        <f t="shared" ref="I41" si="38">SUM(I39:I40)</f>
        <v>44.329746617253264</v>
      </c>
      <c r="J41" s="28">
        <f t="shared" ref="J41" si="39">SUM(J39:J40)</f>
        <v>52.636564737937782</v>
      </c>
      <c r="K41" s="28">
        <f t="shared" ref="K41" si="40">SUM(K39:K40)</f>
        <v>58.337759623215291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2578-0F13-469B-A9B6-97329E3A333F}">
  <dimension ref="A1:F31"/>
  <sheetViews>
    <sheetView workbookViewId="0">
      <selection activeCell="J15" sqref="J15"/>
    </sheetView>
  </sheetViews>
  <sheetFormatPr defaultRowHeight="15" x14ac:dyDescent="0.25"/>
  <cols>
    <col min="1" max="1" width="48.42578125" bestFit="1" customWidth="1"/>
  </cols>
  <sheetData>
    <row r="1" spans="1:6" x14ac:dyDescent="0.25">
      <c r="A1" t="s">
        <v>0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</row>
    <row r="2" spans="1:6" x14ac:dyDescent="0.25">
      <c r="B2" s="3"/>
      <c r="C2" s="3"/>
      <c r="D2" s="3"/>
      <c r="E2" s="3"/>
      <c r="F2" s="3"/>
    </row>
    <row r="3" spans="1:6" x14ac:dyDescent="0.25">
      <c r="A3" t="s">
        <v>43</v>
      </c>
      <c r="B3" s="1">
        <v>340.1515</v>
      </c>
      <c r="C3" s="1">
        <v>547.4973</v>
      </c>
      <c r="D3" s="3">
        <v>930.09</v>
      </c>
      <c r="E3" s="3">
        <v>999.14</v>
      </c>
      <c r="F3" s="1">
        <v>1119.1199999999999</v>
      </c>
    </row>
    <row r="4" spans="1:6" x14ac:dyDescent="0.25">
      <c r="A4" t="s">
        <v>44</v>
      </c>
      <c r="B4" s="1">
        <v>3.7787000000000002</v>
      </c>
      <c r="C4" s="1">
        <v>4.5879000000000003</v>
      </c>
      <c r="D4" s="3">
        <v>12.04</v>
      </c>
      <c r="E4" s="3">
        <v>11.81</v>
      </c>
      <c r="F4" s="1">
        <v>6.06</v>
      </c>
    </row>
    <row r="5" spans="1:6" s="11" customFormat="1" x14ac:dyDescent="0.25">
      <c r="A5" s="11" t="s">
        <v>45</v>
      </c>
      <c r="B5" s="28">
        <f>SUM(B3:B4)</f>
        <v>343.93020000000001</v>
      </c>
      <c r="C5" s="28">
        <f t="shared" ref="C5:F5" si="0">SUM(C3:C4)</f>
        <v>552.08519999999999</v>
      </c>
      <c r="D5" s="28">
        <f t="shared" si="0"/>
        <v>942.13</v>
      </c>
      <c r="E5" s="28">
        <f t="shared" si="0"/>
        <v>1010.9499999999999</v>
      </c>
      <c r="F5" s="28">
        <f t="shared" si="0"/>
        <v>1125.1799999999998</v>
      </c>
    </row>
    <row r="6" spans="1:6" x14ac:dyDescent="0.25">
      <c r="A6" t="s">
        <v>46</v>
      </c>
      <c r="B6" s="1"/>
      <c r="C6" s="1"/>
      <c r="D6" s="3"/>
      <c r="E6" s="1"/>
      <c r="F6" s="1"/>
    </row>
    <row r="7" spans="1:6" x14ac:dyDescent="0.25">
      <c r="A7" t="s">
        <v>47</v>
      </c>
      <c r="B7" s="1">
        <v>239.3527</v>
      </c>
      <c r="C7" s="1">
        <v>424.20489999999995</v>
      </c>
      <c r="D7" s="3">
        <v>756.82</v>
      </c>
      <c r="E7" s="3">
        <v>775.94</v>
      </c>
      <c r="F7" s="1">
        <v>853.92</v>
      </c>
    </row>
    <row r="8" spans="1:6" x14ac:dyDescent="0.25">
      <c r="A8" t="s">
        <v>108</v>
      </c>
      <c r="B8" s="1">
        <v>-3.0070999999999999</v>
      </c>
      <c r="C8" s="1">
        <v>-5.5909000000000004</v>
      </c>
      <c r="D8" s="3">
        <v>-15.25</v>
      </c>
      <c r="E8" s="3">
        <v>0.83</v>
      </c>
      <c r="F8" s="1">
        <v>6.6</v>
      </c>
    </row>
    <row r="9" spans="1:6" x14ac:dyDescent="0.25">
      <c r="A9" t="s">
        <v>48</v>
      </c>
      <c r="B9" s="1">
        <v>26.0839</v>
      </c>
      <c r="C9" s="1">
        <v>30.823</v>
      </c>
      <c r="D9" s="3">
        <v>38.64</v>
      </c>
      <c r="E9" s="3">
        <v>41.37</v>
      </c>
      <c r="F9" s="1">
        <v>47.42</v>
      </c>
    </row>
    <row r="10" spans="1:6" x14ac:dyDescent="0.25">
      <c r="A10" t="s">
        <v>49</v>
      </c>
      <c r="B10" s="1">
        <v>4.8299000000000003</v>
      </c>
      <c r="C10" s="1">
        <v>2.1703000000000001</v>
      </c>
      <c r="D10" s="3">
        <v>1.34</v>
      </c>
      <c r="E10" s="3">
        <v>3.5</v>
      </c>
      <c r="F10" s="1">
        <v>6.14</v>
      </c>
    </row>
    <row r="11" spans="1:6" x14ac:dyDescent="0.25">
      <c r="A11" t="s">
        <v>50</v>
      </c>
      <c r="B11" s="1">
        <v>13.273499999999999</v>
      </c>
      <c r="C11" s="1">
        <v>11.7438</v>
      </c>
      <c r="D11" s="3">
        <v>11.07</v>
      </c>
      <c r="E11" s="3">
        <v>12.4</v>
      </c>
      <c r="F11" s="1">
        <v>16.13</v>
      </c>
    </row>
    <row r="12" spans="1:6" x14ac:dyDescent="0.25">
      <c r="A12" t="s">
        <v>51</v>
      </c>
      <c r="B12" s="1">
        <v>62.169399999999996</v>
      </c>
      <c r="C12" s="1">
        <v>85.73299999999999</v>
      </c>
      <c r="D12" s="3">
        <v>140.91</v>
      </c>
      <c r="E12" s="3">
        <v>166.86</v>
      </c>
      <c r="F12" s="1">
        <v>187.35</v>
      </c>
    </row>
    <row r="13" spans="1:6" s="11" customFormat="1" x14ac:dyDescent="0.25">
      <c r="A13" s="11" t="s">
        <v>52</v>
      </c>
      <c r="B13" s="28">
        <f>SUM(B7:B12)</f>
        <v>342.70229999999998</v>
      </c>
      <c r="C13" s="28">
        <f t="shared" ref="C13:F13" si="1">SUM(C7:C12)</f>
        <v>549.08409999999992</v>
      </c>
      <c r="D13" s="28">
        <f t="shared" si="1"/>
        <v>933.53000000000009</v>
      </c>
      <c r="E13" s="28">
        <f t="shared" si="1"/>
        <v>1000.9000000000001</v>
      </c>
      <c r="F13" s="28">
        <f t="shared" si="1"/>
        <v>1117.56</v>
      </c>
    </row>
    <row r="14" spans="1:6" s="11" customFormat="1" x14ac:dyDescent="0.25">
      <c r="A14" s="11" t="s">
        <v>53</v>
      </c>
      <c r="B14" s="28">
        <f>B5-B13</f>
        <v>1.2279000000000337</v>
      </c>
      <c r="C14" s="28">
        <f t="shared" ref="C14:F14" si="2">C5-C13</f>
        <v>3.0011000000000649</v>
      </c>
      <c r="D14" s="28">
        <f t="shared" si="2"/>
        <v>8.5999999999999091</v>
      </c>
      <c r="E14" s="28">
        <f t="shared" si="2"/>
        <v>10.049999999999841</v>
      </c>
      <c r="F14" s="28">
        <f t="shared" si="2"/>
        <v>7.6199999999998909</v>
      </c>
    </row>
    <row r="15" spans="1:6" x14ac:dyDescent="0.25">
      <c r="A15" t="s">
        <v>54</v>
      </c>
      <c r="B15" s="1"/>
      <c r="C15" s="1"/>
      <c r="D15" s="3"/>
      <c r="E15" s="1"/>
      <c r="F15" s="1"/>
    </row>
    <row r="16" spans="1:6" x14ac:dyDescent="0.25">
      <c r="A16" t="s">
        <v>55</v>
      </c>
      <c r="B16" s="1">
        <v>0.53720000000000001</v>
      </c>
      <c r="C16" s="1">
        <v>0.66859999999999997</v>
      </c>
      <c r="D16" s="3">
        <v>3.17</v>
      </c>
      <c r="E16" s="3">
        <v>1.91</v>
      </c>
      <c r="F16" s="1">
        <v>1.52</v>
      </c>
    </row>
    <row r="17" spans="1:6" x14ac:dyDescent="0.25">
      <c r="A17" t="s">
        <v>56</v>
      </c>
      <c r="B17" s="1">
        <v>-0.16300000000000001</v>
      </c>
      <c r="C17" s="1">
        <v>0.13539999999999999</v>
      </c>
      <c r="D17" s="3">
        <v>-0.73</v>
      </c>
      <c r="E17" s="3">
        <v>0.63</v>
      </c>
      <c r="F17" s="1">
        <v>0.37</v>
      </c>
    </row>
    <row r="18" spans="1:6" s="11" customFormat="1" x14ac:dyDescent="0.25">
      <c r="A18" s="11" t="s">
        <v>57</v>
      </c>
      <c r="B18" s="28">
        <f>SUM(B16:B17)</f>
        <v>0.37419999999999998</v>
      </c>
      <c r="C18" s="28">
        <f t="shared" ref="C18:F18" si="3">SUM(C16:C17)</f>
        <v>0.80399999999999994</v>
      </c>
      <c r="D18" s="28">
        <f t="shared" si="3"/>
        <v>2.44</v>
      </c>
      <c r="E18" s="28">
        <f t="shared" si="3"/>
        <v>2.54</v>
      </c>
      <c r="F18" s="28">
        <f t="shared" si="3"/>
        <v>1.8900000000000001</v>
      </c>
    </row>
    <row r="19" spans="1:6" s="11" customFormat="1" x14ac:dyDescent="0.25">
      <c r="A19" s="11" t="s">
        <v>58</v>
      </c>
      <c r="B19" s="28">
        <f>B14-B18</f>
        <v>0.85370000000003377</v>
      </c>
      <c r="C19" s="28">
        <f t="shared" ref="C19:F19" si="4">C14-C18</f>
        <v>2.1971000000000651</v>
      </c>
      <c r="D19" s="28">
        <f t="shared" si="4"/>
        <v>6.1599999999999095</v>
      </c>
      <c r="E19" s="28">
        <f t="shared" si="4"/>
        <v>7.5099999999998408</v>
      </c>
      <c r="F19" s="28">
        <f t="shared" si="4"/>
        <v>5.7299999999998903</v>
      </c>
    </row>
    <row r="20" spans="1:6" x14ac:dyDescent="0.25">
      <c r="A20" t="s">
        <v>59</v>
      </c>
      <c r="B20" s="1"/>
      <c r="C20" s="1"/>
      <c r="D20" s="3"/>
      <c r="E20" s="1" t="s">
        <v>3</v>
      </c>
      <c r="F20" s="1"/>
    </row>
    <row r="21" spans="1:6" x14ac:dyDescent="0.25">
      <c r="A21" t="s">
        <v>60</v>
      </c>
      <c r="B21" s="1"/>
      <c r="C21" s="1"/>
      <c r="D21" s="3"/>
      <c r="E21" s="1" t="s">
        <v>3</v>
      </c>
      <c r="F21" s="1"/>
    </row>
    <row r="22" spans="1:6" x14ac:dyDescent="0.25">
      <c r="A22" t="s">
        <v>61</v>
      </c>
      <c r="B22" s="1">
        <v>3.1800000000000002E-2</v>
      </c>
      <c r="C22" s="1">
        <v>-0.50509999999999999</v>
      </c>
      <c r="D22" s="3">
        <v>-0.36</v>
      </c>
      <c r="E22" s="3">
        <v>-0.51</v>
      </c>
      <c r="F22" s="1">
        <v>-1.22</v>
      </c>
    </row>
    <row r="23" spans="1:6" x14ac:dyDescent="0.25">
      <c r="A23" t="s">
        <v>62</v>
      </c>
      <c r="B23" s="1">
        <v>-8.0000000000000002E-3</v>
      </c>
      <c r="C23" s="1">
        <v>8.3000000000000001E-3</v>
      </c>
      <c r="D23" s="3">
        <v>0.09</v>
      </c>
      <c r="E23" s="3">
        <v>0.13</v>
      </c>
      <c r="F23" s="1">
        <v>0.31</v>
      </c>
    </row>
    <row r="24" spans="1:6" x14ac:dyDescent="0.25">
      <c r="A24" t="s">
        <v>63</v>
      </c>
      <c r="B24" s="1"/>
      <c r="C24" s="1"/>
      <c r="D24" s="3"/>
      <c r="E24" s="1" t="s">
        <v>3</v>
      </c>
      <c r="F24" s="1"/>
    </row>
    <row r="25" spans="1:6" x14ac:dyDescent="0.25">
      <c r="A25" t="s">
        <v>64</v>
      </c>
      <c r="B25" s="1"/>
      <c r="C25" s="1"/>
      <c r="D25" s="3"/>
      <c r="E25" s="1"/>
      <c r="F25" s="1">
        <v>-0.64</v>
      </c>
    </row>
    <row r="26" spans="1:6" x14ac:dyDescent="0.25">
      <c r="A26" t="s">
        <v>62</v>
      </c>
      <c r="B26" s="1"/>
      <c r="C26" s="1"/>
      <c r="D26" s="3"/>
      <c r="E26" s="1"/>
      <c r="F26" s="1">
        <v>0.16</v>
      </c>
    </row>
    <row r="27" spans="1:6" s="11" customFormat="1" x14ac:dyDescent="0.25">
      <c r="A27" s="11" t="s">
        <v>65</v>
      </c>
      <c r="B27" s="28">
        <f>SUM(B21:B26)</f>
        <v>2.3800000000000002E-2</v>
      </c>
      <c r="C27" s="28">
        <f t="shared" ref="C27:F27" si="5">SUM(C21:C26)</f>
        <v>-0.49680000000000002</v>
      </c>
      <c r="D27" s="28">
        <f t="shared" si="5"/>
        <v>-0.27</v>
      </c>
      <c r="E27" s="28">
        <f t="shared" si="5"/>
        <v>-0.38</v>
      </c>
      <c r="F27" s="28">
        <f t="shared" si="5"/>
        <v>-1.39</v>
      </c>
    </row>
    <row r="28" spans="1:6" s="11" customFormat="1" x14ac:dyDescent="0.25">
      <c r="A28" s="11" t="s">
        <v>66</v>
      </c>
      <c r="B28" s="28">
        <f>SUM(B27,B19)</f>
        <v>0.87750000000003381</v>
      </c>
      <c r="C28" s="28">
        <f t="shared" ref="C28:F28" si="6">SUM(C27,C19)</f>
        <v>1.7003000000000652</v>
      </c>
      <c r="D28" s="28">
        <f t="shared" si="6"/>
        <v>5.88999999999991</v>
      </c>
      <c r="E28" s="28">
        <f t="shared" si="6"/>
        <v>7.1299999999998409</v>
      </c>
      <c r="F28" s="28">
        <f t="shared" si="6"/>
        <v>4.3399999999998906</v>
      </c>
    </row>
    <row r="29" spans="1:6" x14ac:dyDescent="0.25">
      <c r="A29" t="s">
        <v>67</v>
      </c>
      <c r="B29" s="1"/>
      <c r="C29" s="1"/>
      <c r="D29" s="3"/>
      <c r="E29" s="1" t="s">
        <v>3</v>
      </c>
      <c r="F29" s="1"/>
    </row>
    <row r="30" spans="1:6" x14ac:dyDescent="0.25">
      <c r="A30" t="s">
        <v>68</v>
      </c>
      <c r="B30" s="1">
        <v>9.9000000000000005E-2</v>
      </c>
      <c r="C30" s="1">
        <v>0.25469999999999998</v>
      </c>
      <c r="D30" s="3">
        <v>71.27</v>
      </c>
      <c r="E30" s="3">
        <v>87.06</v>
      </c>
      <c r="F30" s="1">
        <v>66.430000000000007</v>
      </c>
    </row>
    <row r="31" spans="1:6" x14ac:dyDescent="0.25">
      <c r="A31" t="s">
        <v>69</v>
      </c>
      <c r="B31" s="1">
        <v>9.9000000000000005E-2</v>
      </c>
      <c r="C31" s="1">
        <v>0.25469999999999998</v>
      </c>
      <c r="D31" s="3">
        <v>71.27</v>
      </c>
      <c r="E31" s="3">
        <v>87.06</v>
      </c>
      <c r="F31" s="1">
        <v>66.430000000000007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7D33-D976-4EFC-AD81-890F4F2DEBA4}">
  <dimension ref="A1:K36"/>
  <sheetViews>
    <sheetView showGridLines="0" workbookViewId="0">
      <selection activeCell="O9" sqref="O9"/>
    </sheetView>
  </sheetViews>
  <sheetFormatPr defaultRowHeight="15" x14ac:dyDescent="0.25"/>
  <cols>
    <col min="1" max="1" width="21.85546875" bestFit="1" customWidth="1"/>
    <col min="2" max="6" width="10.5703125" bestFit="1" customWidth="1"/>
    <col min="7" max="9" width="12.140625" bestFit="1" customWidth="1"/>
    <col min="10" max="10" width="11.140625" bestFit="1" customWidth="1"/>
    <col min="11" max="11" width="12.140625" bestFit="1" customWidth="1"/>
    <col min="12" max="16384" width="9.140625" style="69"/>
  </cols>
  <sheetData>
    <row r="1" spans="1:11" ht="15.75" thickBot="1" x14ac:dyDescent="0.3"/>
    <row r="2" spans="1:11" ht="15.75" thickBot="1" x14ac:dyDescent="0.3">
      <c r="A2" s="83"/>
      <c r="B2" s="58">
        <v>2021</v>
      </c>
      <c r="C2" s="59">
        <v>2022</v>
      </c>
      <c r="D2" s="59">
        <v>2023</v>
      </c>
      <c r="E2" s="59">
        <v>2024</v>
      </c>
      <c r="F2" s="59">
        <v>2025</v>
      </c>
      <c r="G2" s="59" t="s">
        <v>120</v>
      </c>
      <c r="H2" s="59" t="s">
        <v>121</v>
      </c>
      <c r="I2" s="59" t="s">
        <v>122</v>
      </c>
      <c r="J2" s="59" t="s">
        <v>123</v>
      </c>
      <c r="K2" s="60" t="s">
        <v>124</v>
      </c>
    </row>
    <row r="3" spans="1:11" x14ac:dyDescent="0.25">
      <c r="A3" s="78" t="s">
        <v>125</v>
      </c>
      <c r="B3" s="84"/>
      <c r="C3" s="42"/>
      <c r="D3" s="42">
        <f>(D7*10^7)/D5</f>
        <v>66435000</v>
      </c>
      <c r="E3" s="42">
        <f>(E7*10^7)/E5</f>
        <v>68906206.896551728</v>
      </c>
      <c r="F3" s="42">
        <f>(F7*10^7)/F5</f>
        <v>72201290.322580636</v>
      </c>
      <c r="G3" s="85">
        <f>F3*(1+G4)</f>
        <v>75811354.838709667</v>
      </c>
      <c r="H3" s="85">
        <f t="shared" ref="H3:K3" si="0">G3*(1+H4)</f>
        <v>79601922.580645159</v>
      </c>
      <c r="I3" s="85">
        <f t="shared" si="0"/>
        <v>83582018.709677413</v>
      </c>
      <c r="J3" s="85">
        <f t="shared" si="0"/>
        <v>87761119.645161286</v>
      </c>
      <c r="K3" s="86">
        <f t="shared" si="0"/>
        <v>92149175.627419353</v>
      </c>
    </row>
    <row r="4" spans="1:11" s="108" customFormat="1" ht="13.5" x14ac:dyDescent="0.25">
      <c r="A4" s="79" t="s">
        <v>126</v>
      </c>
      <c r="B4" s="87"/>
      <c r="C4" s="88"/>
      <c r="D4" s="88"/>
      <c r="E4" s="88">
        <f>E3/D3-1</f>
        <v>3.7197364289180745E-2</v>
      </c>
      <c r="F4" s="88">
        <f>F3/E3-1</f>
        <v>4.7819834735291611E-2</v>
      </c>
      <c r="G4" s="89">
        <v>0.05</v>
      </c>
      <c r="H4" s="89">
        <v>0.05</v>
      </c>
      <c r="I4" s="89">
        <v>0.05</v>
      </c>
      <c r="J4" s="89">
        <v>0.05</v>
      </c>
      <c r="K4" s="90">
        <v>0.05</v>
      </c>
    </row>
    <row r="5" spans="1:11" x14ac:dyDescent="0.25">
      <c r="A5" s="80" t="s">
        <v>127</v>
      </c>
      <c r="B5" s="91"/>
      <c r="C5" s="46"/>
      <c r="D5" s="45">
        <v>140</v>
      </c>
      <c r="E5" s="45">
        <v>145</v>
      </c>
      <c r="F5" s="45">
        <v>155</v>
      </c>
      <c r="G5" s="45">
        <f>F5*(1+G6)</f>
        <v>162.75</v>
      </c>
      <c r="H5" s="45">
        <f t="shared" ref="H5:K5" si="1">G5*(1+H6)</f>
        <v>170.88750000000002</v>
      </c>
      <c r="I5" s="45">
        <f t="shared" si="1"/>
        <v>179.43187500000002</v>
      </c>
      <c r="J5" s="45">
        <f t="shared" si="1"/>
        <v>188.40346875000003</v>
      </c>
      <c r="K5" s="51">
        <f t="shared" si="1"/>
        <v>197.82364218750004</v>
      </c>
    </row>
    <row r="6" spans="1:11" s="108" customFormat="1" ht="14.25" thickBot="1" x14ac:dyDescent="0.3">
      <c r="A6" s="79" t="s">
        <v>126</v>
      </c>
      <c r="B6" s="87"/>
      <c r="C6" s="88"/>
      <c r="D6" s="88"/>
      <c r="E6" s="88">
        <f>E5/D5-1</f>
        <v>3.5714285714285809E-2</v>
      </c>
      <c r="F6" s="88">
        <f>F5/E5-1</f>
        <v>6.8965517241379226E-2</v>
      </c>
      <c r="G6" s="89">
        <v>0.05</v>
      </c>
      <c r="H6" s="89">
        <v>0.05</v>
      </c>
      <c r="I6" s="89">
        <v>0.05</v>
      </c>
      <c r="J6" s="89">
        <v>0.05</v>
      </c>
      <c r="K6" s="90">
        <v>0.05</v>
      </c>
    </row>
    <row r="7" spans="1:11" x14ac:dyDescent="0.25">
      <c r="A7" s="78" t="s">
        <v>128</v>
      </c>
      <c r="B7" s="40">
        <f>PL!B3</f>
        <v>340.1515</v>
      </c>
      <c r="C7" s="41">
        <f>PL!C3</f>
        <v>547.4973</v>
      </c>
      <c r="D7" s="41">
        <f>PL!D3</f>
        <v>930.09</v>
      </c>
      <c r="E7" s="41">
        <f>PL!E3</f>
        <v>999.14</v>
      </c>
      <c r="F7" s="41">
        <f>PL!F3</f>
        <v>1119.1199999999999</v>
      </c>
      <c r="G7" s="41">
        <f>(G5*G3)/10^7</f>
        <v>1233.8297999999998</v>
      </c>
      <c r="H7" s="41">
        <f t="shared" ref="H7:K7" si="2">(H5*H3)/10^7</f>
        <v>1360.2973545</v>
      </c>
      <c r="I7" s="41">
        <f t="shared" si="2"/>
        <v>1499.7278333362501</v>
      </c>
      <c r="J7" s="41">
        <f t="shared" si="2"/>
        <v>1653.4499362532158</v>
      </c>
      <c r="K7" s="107">
        <f t="shared" si="2"/>
        <v>1822.9285547191703</v>
      </c>
    </row>
    <row r="8" spans="1:11" s="108" customFormat="1" ht="13.5" x14ac:dyDescent="0.25">
      <c r="A8" s="79" t="s">
        <v>126</v>
      </c>
      <c r="B8" s="92"/>
      <c r="C8" s="93">
        <f>C7/B7-1</f>
        <v>0.60956897147300548</v>
      </c>
      <c r="D8" s="93">
        <f>D7/C7-1</f>
        <v>0.69880289820607344</v>
      </c>
      <c r="E8" s="93">
        <f>E7/D7-1</f>
        <v>7.4240127299508574E-2</v>
      </c>
      <c r="F8" s="93">
        <f>F7/E7-1</f>
        <v>0.12008327161358756</v>
      </c>
      <c r="G8" s="93">
        <f>G7/F7-1</f>
        <v>0.10249999999999981</v>
      </c>
      <c r="H8" s="93">
        <f t="shared" ref="H8:K8" si="3">H7/G7-1</f>
        <v>0.10250000000000026</v>
      </c>
      <c r="I8" s="93">
        <f t="shared" si="3"/>
        <v>0.10250000000000004</v>
      </c>
      <c r="J8" s="93">
        <f t="shared" si="3"/>
        <v>0.10250000000000004</v>
      </c>
      <c r="K8" s="94">
        <f t="shared" si="3"/>
        <v>0.10249999999999981</v>
      </c>
    </row>
    <row r="9" spans="1:11" x14ac:dyDescent="0.25">
      <c r="A9" s="80" t="s">
        <v>129</v>
      </c>
      <c r="B9" s="44">
        <f>SUM(PL!B7:B8)</f>
        <v>236.34559999999999</v>
      </c>
      <c r="C9" s="45">
        <f>SUM(PL!C7:C8)</f>
        <v>418.61399999999998</v>
      </c>
      <c r="D9" s="45">
        <f>SUM(PL!D7:D8)</f>
        <v>741.57</v>
      </c>
      <c r="E9" s="45">
        <f>SUM(PL!E7:E8)</f>
        <v>776.7700000000001</v>
      </c>
      <c r="F9" s="45">
        <f>SUM(PL!F7:F8)</f>
        <v>860.52</v>
      </c>
      <c r="G9" s="45">
        <f>G10*G7</f>
        <v>925.37234999999987</v>
      </c>
      <c r="H9" s="45">
        <f t="shared" ref="H9:K9" si="4">H10*H7</f>
        <v>1020.223015875</v>
      </c>
      <c r="I9" s="45">
        <f t="shared" si="4"/>
        <v>1124.7958750021876</v>
      </c>
      <c r="J9" s="45">
        <f t="shared" si="4"/>
        <v>1240.0874521899118</v>
      </c>
      <c r="K9" s="51">
        <f t="shared" si="4"/>
        <v>1367.1964160393777</v>
      </c>
    </row>
    <row r="10" spans="1:11" s="109" customFormat="1" ht="13.5" x14ac:dyDescent="0.25">
      <c r="A10" s="79" t="s">
        <v>130</v>
      </c>
      <c r="B10" s="87">
        <f>B9/B7</f>
        <v>0.69482451201890916</v>
      </c>
      <c r="C10" s="88">
        <f>C9/C7</f>
        <v>0.76459555143011659</v>
      </c>
      <c r="D10" s="88">
        <f>D9/D7</f>
        <v>0.79730993774795988</v>
      </c>
      <c r="E10" s="88">
        <f>E9/E7</f>
        <v>0.77743859719358654</v>
      </c>
      <c r="F10" s="88">
        <f>F9/F7</f>
        <v>0.76892558438773329</v>
      </c>
      <c r="G10" s="89">
        <v>0.75</v>
      </c>
      <c r="H10" s="89">
        <v>0.75</v>
      </c>
      <c r="I10" s="89">
        <v>0.75</v>
      </c>
      <c r="J10" s="89">
        <v>0.75</v>
      </c>
      <c r="K10" s="90">
        <v>0.75</v>
      </c>
    </row>
    <row r="11" spans="1:11" x14ac:dyDescent="0.25">
      <c r="A11" s="80" t="s">
        <v>131</v>
      </c>
      <c r="B11" s="44">
        <f t="shared" ref="B11:G11" si="5">B7-B9</f>
        <v>103.80590000000001</v>
      </c>
      <c r="C11" s="45">
        <f t="shared" si="5"/>
        <v>128.88330000000002</v>
      </c>
      <c r="D11" s="45">
        <f t="shared" si="5"/>
        <v>188.51999999999998</v>
      </c>
      <c r="E11" s="45">
        <f t="shared" si="5"/>
        <v>222.36999999999989</v>
      </c>
      <c r="F11" s="45">
        <f t="shared" si="5"/>
        <v>258.59999999999991</v>
      </c>
      <c r="G11" s="45">
        <f t="shared" si="5"/>
        <v>308.45744999999988</v>
      </c>
      <c r="H11" s="45">
        <f t="shared" ref="H11:K11" si="6">H7-H9</f>
        <v>340.074338625</v>
      </c>
      <c r="I11" s="45">
        <f t="shared" si="6"/>
        <v>374.93195833406253</v>
      </c>
      <c r="J11" s="45">
        <f t="shared" si="6"/>
        <v>413.36248406330401</v>
      </c>
      <c r="K11" s="51">
        <f t="shared" si="6"/>
        <v>455.73213867979257</v>
      </c>
    </row>
    <row r="12" spans="1:11" s="108" customFormat="1" ht="14.25" thickBot="1" x14ac:dyDescent="0.3">
      <c r="A12" s="82" t="s">
        <v>132</v>
      </c>
      <c r="B12" s="110">
        <f t="shared" ref="B12:G12" si="7">B11/B$7</f>
        <v>0.30517548798109079</v>
      </c>
      <c r="C12" s="111">
        <f t="shared" si="7"/>
        <v>0.23540444856988341</v>
      </c>
      <c r="D12" s="111">
        <f t="shared" si="7"/>
        <v>0.20269006225204009</v>
      </c>
      <c r="E12" s="111">
        <f t="shared" si="7"/>
        <v>0.2225614028064134</v>
      </c>
      <c r="F12" s="111">
        <f t="shared" si="7"/>
        <v>0.23107441561226671</v>
      </c>
      <c r="G12" s="111">
        <f t="shared" si="7"/>
        <v>0.24999999999999994</v>
      </c>
      <c r="H12" s="111">
        <f t="shared" ref="H12:K12" si="8">H11/H$7</f>
        <v>0.25</v>
      </c>
      <c r="I12" s="111">
        <f t="shared" si="8"/>
        <v>0.25</v>
      </c>
      <c r="J12" s="111">
        <f t="shared" si="8"/>
        <v>0.25000000000000006</v>
      </c>
      <c r="K12" s="112">
        <f t="shared" si="8"/>
        <v>0.25</v>
      </c>
    </row>
    <row r="13" spans="1:11" ht="15.75" thickBot="1" x14ac:dyDescent="0.3">
      <c r="A13" s="80"/>
      <c r="B13" s="91"/>
      <c r="C13" s="46"/>
      <c r="D13" s="46"/>
      <c r="E13" s="46"/>
      <c r="F13" s="46"/>
      <c r="G13" s="46"/>
      <c r="H13" s="46"/>
      <c r="I13" s="46"/>
      <c r="J13" s="46"/>
      <c r="K13" s="47"/>
    </row>
    <row r="14" spans="1:11" x14ac:dyDescent="0.25">
      <c r="A14" s="78" t="s">
        <v>133</v>
      </c>
      <c r="B14" s="40">
        <f>PL!B9</f>
        <v>26.0839</v>
      </c>
      <c r="C14" s="41">
        <f>PL!C9</f>
        <v>30.823</v>
      </c>
      <c r="D14" s="41">
        <f>PL!D9</f>
        <v>38.64</v>
      </c>
      <c r="E14" s="41">
        <f>PL!E9</f>
        <v>41.37</v>
      </c>
      <c r="F14" s="41">
        <f>PL!F9</f>
        <v>47.42</v>
      </c>
      <c r="G14" s="41">
        <f>F14*(1+G15)</f>
        <v>55.007199999999997</v>
      </c>
      <c r="H14" s="41">
        <f t="shared" ref="H14:K14" si="9">G14*(1+H15)</f>
        <v>63.808351999999992</v>
      </c>
      <c r="I14" s="41">
        <f t="shared" si="9"/>
        <v>74.017688319999991</v>
      </c>
      <c r="J14" s="41">
        <f t="shared" si="9"/>
        <v>85.860518451199979</v>
      </c>
      <c r="K14" s="107">
        <f t="shared" si="9"/>
        <v>99.598201403391968</v>
      </c>
    </row>
    <row r="15" spans="1:11" s="109" customFormat="1" ht="13.5" x14ac:dyDescent="0.25">
      <c r="A15" s="79" t="s">
        <v>126</v>
      </c>
      <c r="B15" s="87"/>
      <c r="C15" s="88">
        <f>C14/B14-1</f>
        <v>0.18168678763528456</v>
      </c>
      <c r="D15" s="88">
        <f>D14/C14-1</f>
        <v>0.25360931771728912</v>
      </c>
      <c r="E15" s="88">
        <f>E14/D14-1</f>
        <v>7.0652173913043459E-2</v>
      </c>
      <c r="F15" s="88">
        <f>F14/E14-1</f>
        <v>0.14624123761179608</v>
      </c>
      <c r="G15" s="89">
        <v>0.16</v>
      </c>
      <c r="H15" s="89">
        <v>0.16</v>
      </c>
      <c r="I15" s="89">
        <v>0.16</v>
      </c>
      <c r="J15" s="89">
        <v>0.16</v>
      </c>
      <c r="K15" s="90">
        <v>0.16</v>
      </c>
    </row>
    <row r="16" spans="1:11" x14ac:dyDescent="0.25">
      <c r="A16" s="80" t="s">
        <v>134</v>
      </c>
      <c r="B16" s="44">
        <f>PL!B12</f>
        <v>62.169399999999996</v>
      </c>
      <c r="C16" s="45">
        <f>PL!C12</f>
        <v>85.73299999999999</v>
      </c>
      <c r="D16" s="45">
        <f>PL!D12</f>
        <v>140.91</v>
      </c>
      <c r="E16" s="45">
        <f>PL!E12</f>
        <v>166.86</v>
      </c>
      <c r="F16" s="45">
        <f>PL!F12</f>
        <v>187.35</v>
      </c>
      <c r="G16" s="45">
        <f>G17*G$7</f>
        <v>209.75106599999998</v>
      </c>
      <c r="H16" s="45">
        <f t="shared" ref="H16:K16" si="10">H17*H$7</f>
        <v>231.25055026500002</v>
      </c>
      <c r="I16" s="45">
        <f t="shared" si="10"/>
        <v>254.95373166716254</v>
      </c>
      <c r="J16" s="45">
        <f t="shared" si="10"/>
        <v>281.08648916304674</v>
      </c>
      <c r="K16" s="51">
        <f t="shared" si="10"/>
        <v>309.89785430225896</v>
      </c>
    </row>
    <row r="17" spans="1:11" s="109" customFormat="1" ht="13.5" x14ac:dyDescent="0.25">
      <c r="A17" s="79" t="s">
        <v>130</v>
      </c>
      <c r="B17" s="87">
        <f>B16/B$7</f>
        <v>0.18276973642626887</v>
      </c>
      <c r="C17" s="88">
        <f>C16/C$7</f>
        <v>0.15659072656614012</v>
      </c>
      <c r="D17" s="88">
        <f>D16/D$7</f>
        <v>0.15150146759990968</v>
      </c>
      <c r="E17" s="88">
        <f>E16/E$7</f>
        <v>0.16700362311587968</v>
      </c>
      <c r="F17" s="88">
        <f>F16/F$7</f>
        <v>0.16740832082350418</v>
      </c>
      <c r="G17" s="89">
        <v>0.17</v>
      </c>
      <c r="H17" s="89">
        <v>0.17</v>
      </c>
      <c r="I17" s="89">
        <v>0.17</v>
      </c>
      <c r="J17" s="89">
        <v>0.17</v>
      </c>
      <c r="K17" s="90">
        <v>0.17</v>
      </c>
    </row>
    <row r="18" spans="1:11" x14ac:dyDescent="0.25">
      <c r="A18" s="80" t="s">
        <v>135</v>
      </c>
      <c r="B18" s="44">
        <f t="shared" ref="B18:G18" si="11">B11-B14-B16</f>
        <v>15.552600000000012</v>
      </c>
      <c r="C18" s="45">
        <f t="shared" si="11"/>
        <v>12.327300000000022</v>
      </c>
      <c r="D18" s="45">
        <f t="shared" si="11"/>
        <v>8.9699999999999989</v>
      </c>
      <c r="E18" s="45">
        <f t="shared" si="11"/>
        <v>14.139999999999873</v>
      </c>
      <c r="F18" s="45">
        <f t="shared" si="11"/>
        <v>23.829999999999899</v>
      </c>
      <c r="G18" s="45">
        <f t="shared" si="11"/>
        <v>43.699183999999889</v>
      </c>
      <c r="H18" s="45">
        <f t="shared" ref="H18:K18" si="12">H11-H14-H16</f>
        <v>45.015436359999967</v>
      </c>
      <c r="I18" s="45">
        <f t="shared" si="12"/>
        <v>45.960538346899995</v>
      </c>
      <c r="J18" s="45">
        <f t="shared" si="12"/>
        <v>46.41547644905728</v>
      </c>
      <c r="K18" s="51">
        <f t="shared" si="12"/>
        <v>46.236082974141652</v>
      </c>
    </row>
    <row r="19" spans="1:11" s="108" customFormat="1" ht="14.25" thickBot="1" x14ac:dyDescent="0.3">
      <c r="A19" s="82" t="s">
        <v>136</v>
      </c>
      <c r="B19" s="110">
        <f t="shared" ref="B19:G19" si="13">B18/B$7</f>
        <v>4.5722567738199042E-2</v>
      </c>
      <c r="C19" s="111">
        <f t="shared" si="13"/>
        <v>2.2515727474820463E-2</v>
      </c>
      <c r="D19" s="111">
        <f t="shared" si="13"/>
        <v>9.644227977937618E-3</v>
      </c>
      <c r="E19" s="111">
        <f t="shared" si="13"/>
        <v>1.4152170866945446E-2</v>
      </c>
      <c r="F19" s="111">
        <f t="shared" si="13"/>
        <v>2.1293516334262547E-2</v>
      </c>
      <c r="G19" s="111">
        <f t="shared" si="13"/>
        <v>3.5417513825650747E-2</v>
      </c>
      <c r="H19" s="111">
        <f t="shared" ref="H19:K19" si="14">H18/H$7</f>
        <v>3.3092350147623524E-2</v>
      </c>
      <c r="I19" s="111">
        <f t="shared" si="14"/>
        <v>3.0645919429699148E-2</v>
      </c>
      <c r="J19" s="111">
        <f t="shared" si="14"/>
        <v>2.8071897087030419E-2</v>
      </c>
      <c r="K19" s="112">
        <f t="shared" si="14"/>
        <v>2.5363628681138582E-2</v>
      </c>
    </row>
    <row r="20" spans="1:11" x14ac:dyDescent="0.25">
      <c r="A20" s="103" t="s">
        <v>137</v>
      </c>
      <c r="B20" s="104">
        <f>PL!B11</f>
        <v>13.273499999999999</v>
      </c>
      <c r="C20" s="105">
        <f>PL!C11</f>
        <v>11.7438</v>
      </c>
      <c r="D20" s="105">
        <f>PL!D11</f>
        <v>11.07</v>
      </c>
      <c r="E20" s="105">
        <f>PL!E11</f>
        <v>12.4</v>
      </c>
      <c r="F20" s="105">
        <f>PL!F11</f>
        <v>16.13</v>
      </c>
      <c r="G20" s="105">
        <f>'PPE NOTE'!E11</f>
        <v>17.760414915599995</v>
      </c>
      <c r="H20" s="105">
        <f>'PPE NOTE'!F11</f>
        <v>20.102846960048996</v>
      </c>
      <c r="I20" s="105">
        <f>'PPE NOTE'!G11</f>
        <v>22.685378289054018</v>
      </c>
      <c r="J20" s="105">
        <f>'PPE NOTE'!H11</f>
        <v>25.532619079282057</v>
      </c>
      <c r="K20" s="106">
        <f>'PPE NOTE'!I11</f>
        <v>28.671702050508465</v>
      </c>
    </row>
    <row r="21" spans="1:11" s="108" customFormat="1" ht="13.5" x14ac:dyDescent="0.25">
      <c r="A21" s="81" t="s">
        <v>138</v>
      </c>
      <c r="B21" s="96"/>
      <c r="C21" s="31">
        <f>C20/B20-1</f>
        <v>-0.11524466041360593</v>
      </c>
      <c r="D21" s="31">
        <f>D20/C20-1</f>
        <v>-5.7374955295560248E-2</v>
      </c>
      <c r="E21" s="31">
        <f>E20/D20-1</f>
        <v>0.12014453477868114</v>
      </c>
      <c r="F21" s="31">
        <f>F20/E20-1</f>
        <v>0.3008064516129032</v>
      </c>
      <c r="G21" s="31">
        <f>G20/F20-1</f>
        <v>0.10107965998760049</v>
      </c>
      <c r="H21" s="31">
        <f t="shared" ref="H21:K21" si="15">H20/G20-1</f>
        <v>0.13189061491978471</v>
      </c>
      <c r="I21" s="31">
        <f t="shared" si="15"/>
        <v>0.12846594982976112</v>
      </c>
      <c r="J21" s="31">
        <f t="shared" si="15"/>
        <v>0.12550995420701749</v>
      </c>
      <c r="K21" s="97">
        <f t="shared" si="15"/>
        <v>0.12294402550240346</v>
      </c>
    </row>
    <row r="22" spans="1:11" x14ac:dyDescent="0.25">
      <c r="A22" s="80" t="s">
        <v>139</v>
      </c>
      <c r="B22" s="44">
        <f t="shared" ref="B22:G22" si="16">B18-B20</f>
        <v>2.2791000000000139</v>
      </c>
      <c r="C22" s="45">
        <f t="shared" si="16"/>
        <v>0.58350000000002211</v>
      </c>
      <c r="D22" s="45">
        <f t="shared" si="16"/>
        <v>-2.1000000000000014</v>
      </c>
      <c r="E22" s="45">
        <f t="shared" si="16"/>
        <v>1.7399999999998723</v>
      </c>
      <c r="F22" s="45">
        <f t="shared" si="16"/>
        <v>7.6999999999998998</v>
      </c>
      <c r="G22" s="45">
        <f t="shared" si="16"/>
        <v>25.938769084399894</v>
      </c>
      <c r="H22" s="45">
        <f t="shared" ref="H22:K22" si="17">H18-H20</f>
        <v>24.912589399950971</v>
      </c>
      <c r="I22" s="45">
        <f t="shared" si="17"/>
        <v>23.275160057845977</v>
      </c>
      <c r="J22" s="45">
        <f t="shared" si="17"/>
        <v>20.882857369775223</v>
      </c>
      <c r="K22" s="51">
        <f t="shared" si="17"/>
        <v>17.564380923633188</v>
      </c>
    </row>
    <row r="23" spans="1:11" s="108" customFormat="1" ht="14.25" thickBot="1" x14ac:dyDescent="0.3">
      <c r="A23" s="79" t="s">
        <v>140</v>
      </c>
      <c r="B23" s="87">
        <f t="shared" ref="B23:G23" si="18">B22/B$7</f>
        <v>6.7002497416592723E-3</v>
      </c>
      <c r="C23" s="88">
        <f t="shared" si="18"/>
        <v>1.065758680453807E-3</v>
      </c>
      <c r="D23" s="88">
        <f t="shared" si="18"/>
        <v>-2.2578460149017851E-3</v>
      </c>
      <c r="E23" s="88">
        <f t="shared" si="18"/>
        <v>1.7414976880115623E-3</v>
      </c>
      <c r="F23" s="88">
        <f t="shared" si="18"/>
        <v>6.880406033311799E-3</v>
      </c>
      <c r="G23" s="88">
        <f t="shared" si="18"/>
        <v>2.1022971794326818E-2</v>
      </c>
      <c r="H23" s="88">
        <f t="shared" ref="H23:K23" si="19">H22/H$7</f>
        <v>1.8314076196309304E-2</v>
      </c>
      <c r="I23" s="88">
        <f t="shared" si="19"/>
        <v>1.5519589315128429E-2</v>
      </c>
      <c r="J23" s="88">
        <f t="shared" si="19"/>
        <v>1.2629869772227045E-2</v>
      </c>
      <c r="K23" s="95">
        <f t="shared" si="19"/>
        <v>9.635254699457519E-3</v>
      </c>
    </row>
    <row r="24" spans="1:11" x14ac:dyDescent="0.25">
      <c r="A24" s="78" t="s">
        <v>141</v>
      </c>
      <c r="B24" s="40">
        <f>PL!B10</f>
        <v>4.8299000000000003</v>
      </c>
      <c r="C24" s="41">
        <f>PL!C10</f>
        <v>2.1703000000000001</v>
      </c>
      <c r="D24" s="41">
        <f>PL!D10</f>
        <v>1.34</v>
      </c>
      <c r="E24" s="41">
        <f>PL!E10</f>
        <v>3.5</v>
      </c>
      <c r="F24" s="41">
        <f>PL!F10</f>
        <v>6.14</v>
      </c>
      <c r="G24" s="41">
        <f>F24</f>
        <v>6.14</v>
      </c>
      <c r="H24" s="41">
        <f t="shared" ref="H24:K24" si="20">G24</f>
        <v>6.14</v>
      </c>
      <c r="I24" s="41">
        <f t="shared" si="20"/>
        <v>6.14</v>
      </c>
      <c r="J24" s="41">
        <f t="shared" si="20"/>
        <v>6.14</v>
      </c>
      <c r="K24" s="107">
        <f t="shared" si="20"/>
        <v>6.14</v>
      </c>
    </row>
    <row r="25" spans="1:11" s="108" customFormat="1" ht="13.5" x14ac:dyDescent="0.25">
      <c r="A25" s="79" t="s">
        <v>138</v>
      </c>
      <c r="B25" s="87"/>
      <c r="C25" s="88">
        <f>C24/B24-1</f>
        <v>-0.55065322263400907</v>
      </c>
      <c r="D25" s="88">
        <f>D24/C24-1</f>
        <v>-0.38257383771828779</v>
      </c>
      <c r="E25" s="88">
        <f>E24/D24-1</f>
        <v>1.6119402985074625</v>
      </c>
      <c r="F25" s="88">
        <f>F24/E24-1</f>
        <v>0.75428571428571423</v>
      </c>
      <c r="G25" s="88">
        <f>G24/F24-1</f>
        <v>0</v>
      </c>
      <c r="H25" s="88">
        <f t="shared" ref="H25:K25" si="21">H24/G24-1</f>
        <v>0</v>
      </c>
      <c r="I25" s="88">
        <f t="shared" si="21"/>
        <v>0</v>
      </c>
      <c r="J25" s="88">
        <f t="shared" si="21"/>
        <v>0</v>
      </c>
      <c r="K25" s="95">
        <f t="shared" si="21"/>
        <v>0</v>
      </c>
    </row>
    <row r="26" spans="1:11" x14ac:dyDescent="0.25">
      <c r="A26" s="80" t="s">
        <v>142</v>
      </c>
      <c r="B26" s="44">
        <f>PL!B4</f>
        <v>3.7787000000000002</v>
      </c>
      <c r="C26" s="45">
        <f>PL!C4</f>
        <v>4.5879000000000003</v>
      </c>
      <c r="D26" s="45">
        <f>PL!D4</f>
        <v>12.04</v>
      </c>
      <c r="E26" s="45">
        <f>PL!E4</f>
        <v>11.81</v>
      </c>
      <c r="F26" s="45">
        <f>PL!F4</f>
        <v>6.06</v>
      </c>
      <c r="G26" s="46">
        <f>F26</f>
        <v>6.06</v>
      </c>
      <c r="H26" s="46">
        <f t="shared" ref="H26:K26" si="22">G26</f>
        <v>6.06</v>
      </c>
      <c r="I26" s="46">
        <f t="shared" si="22"/>
        <v>6.06</v>
      </c>
      <c r="J26" s="46">
        <f t="shared" si="22"/>
        <v>6.06</v>
      </c>
      <c r="K26" s="47">
        <f t="shared" si="22"/>
        <v>6.06</v>
      </c>
    </row>
    <row r="27" spans="1:11" x14ac:dyDescent="0.25">
      <c r="A27" s="80" t="s">
        <v>143</v>
      </c>
      <c r="B27" s="44">
        <f t="shared" ref="B27:G27" si="23">B22+B26-B24</f>
        <v>1.2279000000000142</v>
      </c>
      <c r="C27" s="45">
        <f t="shared" si="23"/>
        <v>3.0011000000000223</v>
      </c>
      <c r="D27" s="45">
        <f t="shared" si="23"/>
        <v>8.5999999999999979</v>
      </c>
      <c r="E27" s="45">
        <f t="shared" si="23"/>
        <v>10.049999999999873</v>
      </c>
      <c r="F27" s="45">
        <f t="shared" si="23"/>
        <v>7.6199999999998989</v>
      </c>
      <c r="G27" s="45">
        <f t="shared" si="23"/>
        <v>25.858769084399892</v>
      </c>
      <c r="H27" s="45">
        <f t="shared" ref="H27:K27" si="24">H22+H26-H24</f>
        <v>24.832589399950969</v>
      </c>
      <c r="I27" s="45">
        <f t="shared" si="24"/>
        <v>23.195160057845975</v>
      </c>
      <c r="J27" s="45">
        <f t="shared" si="24"/>
        <v>20.802857369775221</v>
      </c>
      <c r="K27" s="51">
        <f t="shared" si="24"/>
        <v>17.484380923633186</v>
      </c>
    </row>
    <row r="28" spans="1:11" s="108" customFormat="1" ht="13.5" x14ac:dyDescent="0.25">
      <c r="A28" s="79" t="s">
        <v>144</v>
      </c>
      <c r="B28" s="87">
        <f t="shared" ref="B28:G28" si="25">B27/B$7</f>
        <v>3.6098620761631632E-3</v>
      </c>
      <c r="C28" s="88">
        <f t="shared" si="25"/>
        <v>5.4814882192113501E-3</v>
      </c>
      <c r="D28" s="88">
        <f t="shared" si="25"/>
        <v>9.2464170134073029E-3</v>
      </c>
      <c r="E28" s="88">
        <f t="shared" si="25"/>
        <v>1.0058650439377738E-2</v>
      </c>
      <c r="F28" s="88">
        <f t="shared" si="25"/>
        <v>6.8089212953033633E-3</v>
      </c>
      <c r="G28" s="88">
        <f t="shared" si="25"/>
        <v>2.0958133029693314E-2</v>
      </c>
      <c r="H28" s="88">
        <f t="shared" ref="H28:K28" si="26">H27/H$7</f>
        <v>1.8255265525439913E-2</v>
      </c>
      <c r="I28" s="88">
        <f t="shared" si="26"/>
        <v>1.5466246303001998E-2</v>
      </c>
      <c r="J28" s="88">
        <f t="shared" si="26"/>
        <v>1.2581486087758626E-2</v>
      </c>
      <c r="K28" s="95">
        <f t="shared" si="26"/>
        <v>9.5913692713682497E-3</v>
      </c>
    </row>
    <row r="29" spans="1:11" x14ac:dyDescent="0.25">
      <c r="A29" s="80" t="s">
        <v>145</v>
      </c>
      <c r="B29" s="44">
        <f>PL!B18</f>
        <v>0.37419999999999998</v>
      </c>
      <c r="C29" s="45">
        <f>PL!C18</f>
        <v>0.80399999999999994</v>
      </c>
      <c r="D29" s="45">
        <f>PL!D18</f>
        <v>2.44</v>
      </c>
      <c r="E29" s="45">
        <f>PL!E18</f>
        <v>2.54</v>
      </c>
      <c r="F29" s="45">
        <f>PL!F18</f>
        <v>1.8900000000000001</v>
      </c>
      <c r="G29" s="45">
        <f>G30*G27</f>
        <v>6.9818676527879715</v>
      </c>
      <c r="H29" s="45">
        <f t="shared" ref="H29:K29" si="27">H30*H27</f>
        <v>6.704799137986762</v>
      </c>
      <c r="I29" s="45">
        <f t="shared" si="27"/>
        <v>6.2626932156184134</v>
      </c>
      <c r="J29" s="45">
        <f t="shared" si="27"/>
        <v>5.6167714898393104</v>
      </c>
      <c r="K29" s="51">
        <f t="shared" si="27"/>
        <v>4.72078284938096</v>
      </c>
    </row>
    <row r="30" spans="1:11" s="109" customFormat="1" ht="13.5" x14ac:dyDescent="0.25">
      <c r="A30" s="79" t="s">
        <v>146</v>
      </c>
      <c r="B30" s="92">
        <f>B29/B27</f>
        <v>0.30474794364361563</v>
      </c>
      <c r="C30" s="93">
        <f>C29/C27</f>
        <v>0.26790176935123589</v>
      </c>
      <c r="D30" s="93">
        <f>D29/D27</f>
        <v>0.28372093023255818</v>
      </c>
      <c r="E30" s="93">
        <f>E29/E27</f>
        <v>0.2527363184079634</v>
      </c>
      <c r="F30" s="93">
        <f>F29/F27</f>
        <v>0.24803149606299543</v>
      </c>
      <c r="G30" s="98">
        <v>0.27</v>
      </c>
      <c r="H30" s="98">
        <v>0.27</v>
      </c>
      <c r="I30" s="98">
        <v>0.27</v>
      </c>
      <c r="J30" s="98">
        <v>0.27</v>
      </c>
      <c r="K30" s="99">
        <v>0.27</v>
      </c>
    </row>
    <row r="31" spans="1:11" x14ac:dyDescent="0.25">
      <c r="A31" s="80" t="s">
        <v>147</v>
      </c>
      <c r="B31" s="44">
        <f t="shared" ref="B31:G31" si="28">B27-B29</f>
        <v>0.85370000000001423</v>
      </c>
      <c r="C31" s="45">
        <f t="shared" si="28"/>
        <v>2.1971000000000225</v>
      </c>
      <c r="D31" s="45">
        <f t="shared" si="28"/>
        <v>6.1599999999999984</v>
      </c>
      <c r="E31" s="45">
        <f t="shared" si="28"/>
        <v>7.5099999999998728</v>
      </c>
      <c r="F31" s="45">
        <f t="shared" si="28"/>
        <v>5.7299999999998992</v>
      </c>
      <c r="G31" s="45">
        <f t="shared" si="28"/>
        <v>18.87690143161192</v>
      </c>
      <c r="H31" s="45">
        <f t="shared" ref="H31:K31" si="29">H27-H29</f>
        <v>18.127790261964208</v>
      </c>
      <c r="I31" s="45">
        <f t="shared" si="29"/>
        <v>16.932466842227562</v>
      </c>
      <c r="J31" s="45">
        <f t="shared" si="29"/>
        <v>15.186085879935911</v>
      </c>
      <c r="K31" s="51">
        <f t="shared" si="29"/>
        <v>12.763598074252226</v>
      </c>
    </row>
    <row r="32" spans="1:11" s="108" customFormat="1" ht="14.25" thickBot="1" x14ac:dyDescent="0.3">
      <c r="A32" s="82" t="s">
        <v>148</v>
      </c>
      <c r="B32" s="110">
        <f t="shared" ref="B32:G32" si="30">B31/B$7</f>
        <v>2.509764031615366E-3</v>
      </c>
      <c r="C32" s="111">
        <f t="shared" si="30"/>
        <v>4.0129878266066746E-3</v>
      </c>
      <c r="D32" s="111">
        <f t="shared" si="30"/>
        <v>6.6230149770452303E-3</v>
      </c>
      <c r="E32" s="111">
        <f t="shared" si="30"/>
        <v>7.5164641591767651E-3</v>
      </c>
      <c r="F32" s="111">
        <f t="shared" si="30"/>
        <v>5.1200943598540818E-3</v>
      </c>
      <c r="G32" s="111">
        <f t="shared" si="30"/>
        <v>1.5299437111676119E-2</v>
      </c>
      <c r="H32" s="111">
        <f t="shared" ref="H32:K32" si="31">H31/H$7</f>
        <v>1.3326343833571138E-2</v>
      </c>
      <c r="I32" s="111">
        <f t="shared" si="31"/>
        <v>1.1290359801191458E-2</v>
      </c>
      <c r="J32" s="111">
        <f t="shared" si="31"/>
        <v>9.184484844063796E-3</v>
      </c>
      <c r="K32" s="112">
        <f t="shared" si="31"/>
        <v>7.0016995680988224E-3</v>
      </c>
    </row>
    <row r="33" spans="1:11" x14ac:dyDescent="0.25">
      <c r="A33" s="80" t="s">
        <v>149</v>
      </c>
      <c r="B33" s="91">
        <v>10</v>
      </c>
      <c r="C33" s="46">
        <v>10</v>
      </c>
      <c r="D33" s="46">
        <v>10</v>
      </c>
      <c r="E33" s="46">
        <v>10</v>
      </c>
      <c r="F33" s="46">
        <v>10</v>
      </c>
      <c r="G33" s="46">
        <v>10</v>
      </c>
      <c r="H33" s="46">
        <v>10</v>
      </c>
      <c r="I33" s="46">
        <v>10</v>
      </c>
      <c r="J33" s="46">
        <v>10</v>
      </c>
      <c r="K33" s="47">
        <v>10</v>
      </c>
    </row>
    <row r="34" spans="1:11" x14ac:dyDescent="0.25">
      <c r="A34" s="80" t="s">
        <v>150</v>
      </c>
      <c r="B34" s="44">
        <f>BS!B29</f>
        <v>0.86269999999999991</v>
      </c>
      <c r="C34" s="45">
        <f>BS!C29</f>
        <v>0.86269999999999991</v>
      </c>
      <c r="D34" s="45">
        <f>BS!D29</f>
        <v>0.86</v>
      </c>
      <c r="E34" s="45">
        <f>BS!E29</f>
        <v>0.86</v>
      </c>
      <c r="F34" s="45">
        <f>BS!F29</f>
        <v>0.86</v>
      </c>
      <c r="G34" s="45">
        <f>F34</f>
        <v>0.86</v>
      </c>
      <c r="H34" s="45">
        <f t="shared" ref="H34:K34" si="32">G34</f>
        <v>0.86</v>
      </c>
      <c r="I34" s="45">
        <f t="shared" si="32"/>
        <v>0.86</v>
      </c>
      <c r="J34" s="45">
        <f t="shared" si="32"/>
        <v>0.86</v>
      </c>
      <c r="K34" s="51">
        <f t="shared" si="32"/>
        <v>0.86</v>
      </c>
    </row>
    <row r="35" spans="1:11" x14ac:dyDescent="0.25">
      <c r="A35" s="80" t="s">
        <v>151</v>
      </c>
      <c r="B35" s="44">
        <f t="shared" ref="B35:G35" si="33">B31/B34</f>
        <v>0.98956763649010582</v>
      </c>
      <c r="C35" s="45">
        <f t="shared" si="33"/>
        <v>2.5467717630694593</v>
      </c>
      <c r="D35" s="45">
        <f t="shared" si="33"/>
        <v>7.1627906976744171</v>
      </c>
      <c r="E35" s="45">
        <f t="shared" si="33"/>
        <v>8.7325581395347367</v>
      </c>
      <c r="F35" s="45">
        <f t="shared" si="33"/>
        <v>6.6627906976743017</v>
      </c>
      <c r="G35" s="45">
        <f t="shared" si="33"/>
        <v>21.949885385595255</v>
      </c>
      <c r="H35" s="45">
        <f t="shared" ref="H35:K35" si="34">H31/H34</f>
        <v>21.078825886004893</v>
      </c>
      <c r="I35" s="45">
        <f t="shared" si="34"/>
        <v>19.688914932822748</v>
      </c>
      <c r="J35" s="45">
        <f t="shared" si="34"/>
        <v>17.658239395274315</v>
      </c>
      <c r="K35" s="51">
        <f t="shared" si="34"/>
        <v>14.841393109595611</v>
      </c>
    </row>
    <row r="36" spans="1:11" s="108" customFormat="1" ht="14.25" thickBot="1" x14ac:dyDescent="0.3">
      <c r="A36" s="82" t="s">
        <v>138</v>
      </c>
      <c r="B36" s="100"/>
      <c r="C36" s="101">
        <f>C35/B35-1</f>
        <v>1.5736207098512192</v>
      </c>
      <c r="D36" s="101">
        <f>D35/C35-1</f>
        <v>1.8124980815091059</v>
      </c>
      <c r="E36" s="101">
        <f>E35/D35-1</f>
        <v>0.2191558441558239</v>
      </c>
      <c r="F36" s="101">
        <f>F35/E35-1</f>
        <v>-0.23701731025299655</v>
      </c>
      <c r="G36" s="101">
        <f>G35/F35-1</f>
        <v>2.2943981556042323</v>
      </c>
      <c r="H36" s="101">
        <f t="shared" ref="H36:K36" si="35">H35/G35-1</f>
        <v>-3.9684011296113653E-2</v>
      </c>
      <c r="I36" s="101">
        <f t="shared" si="35"/>
        <v>-6.5938727360757121E-2</v>
      </c>
      <c r="J36" s="101">
        <f t="shared" si="35"/>
        <v>-0.10313801164142167</v>
      </c>
      <c r="K36" s="102">
        <f t="shared" si="35"/>
        <v>-0.15952022297492163</v>
      </c>
    </row>
  </sheetData>
  <pageMargins left="0.7" right="0.7" top="0.75" bottom="0.75" header="0.3" footer="0.3"/>
  <ignoredErrors>
    <ignoredError sqref="B9:F9" formulaRange="1"/>
    <ignoredError sqref="E7:F7 B18:F18 G25:K2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0A0C9-FD1A-4860-AFAF-49E31AFAC092}">
  <dimension ref="A1:K14"/>
  <sheetViews>
    <sheetView showGridLines="0" workbookViewId="0">
      <selection activeCell="I10" sqref="I10"/>
    </sheetView>
  </sheetViews>
  <sheetFormatPr defaultRowHeight="15" x14ac:dyDescent="0.25"/>
  <cols>
    <col min="1" max="1" width="19.7109375" bestFit="1" customWidth="1"/>
  </cols>
  <sheetData>
    <row r="1" spans="1:11" x14ac:dyDescent="0.25">
      <c r="A1" t="s">
        <v>173</v>
      </c>
    </row>
    <row r="2" spans="1:11" x14ac:dyDescent="0.25">
      <c r="A2" t="s">
        <v>174</v>
      </c>
      <c r="B2">
        <f>'[1]FOMATED P&amp;L'!B2</f>
        <v>2021</v>
      </c>
      <c r="C2">
        <f>'[1]FOMATED P&amp;L'!C2</f>
        <v>2022</v>
      </c>
      <c r="D2">
        <f>'[1]FOMATED P&amp;L'!D2</f>
        <v>2023</v>
      </c>
      <c r="E2">
        <f>'[1]FOMATED P&amp;L'!E2</f>
        <v>2024</v>
      </c>
      <c r="F2">
        <f>'[1]FOMATED P&amp;L'!F2</f>
        <v>2025</v>
      </c>
      <c r="G2" t="str">
        <f>'[1]FOMATED P&amp;L'!G2</f>
        <v>F2026</v>
      </c>
      <c r="H2" t="str">
        <f>'[1]FOMATED P&amp;L'!H2</f>
        <v>F2027</v>
      </c>
      <c r="I2" t="str">
        <f>'[1]FOMATED P&amp;L'!I2</f>
        <v>F2028</v>
      </c>
      <c r="J2" t="str">
        <f>'[1]FOMATED P&amp;L'!J2</f>
        <v>F2029</v>
      </c>
      <c r="K2" t="str">
        <f>'[1]FOMATED P&amp;L'!K2</f>
        <v>F2030</v>
      </c>
    </row>
    <row r="4" spans="1:11" x14ac:dyDescent="0.25">
      <c r="A4" t="s">
        <v>152</v>
      </c>
      <c r="B4" s="4">
        <f>'Formated PL'!B7</f>
        <v>340.1515</v>
      </c>
      <c r="C4" s="4">
        <f>'Formated PL'!C7</f>
        <v>547.4973</v>
      </c>
      <c r="D4" s="4">
        <f>'Formated PL'!D7</f>
        <v>930.09</v>
      </c>
      <c r="E4" s="4">
        <f>'Formated PL'!E7</f>
        <v>999.14</v>
      </c>
      <c r="F4" s="4">
        <f>'Formated PL'!F7</f>
        <v>1119.1199999999999</v>
      </c>
      <c r="G4" s="4">
        <f>'Formated PL'!G7</f>
        <v>1233.8297999999998</v>
      </c>
      <c r="H4" s="4">
        <f>'Formated PL'!H7</f>
        <v>1360.2973545</v>
      </c>
      <c r="I4" s="4">
        <f>'Formated PL'!I7</f>
        <v>1499.7278333362501</v>
      </c>
      <c r="J4" s="4">
        <f>'Formated PL'!J7</f>
        <v>1653.4499362532158</v>
      </c>
      <c r="K4" s="4">
        <f>'Formated PL'!K7</f>
        <v>1822.9285547191703</v>
      </c>
    </row>
    <row r="5" spans="1:11" x14ac:dyDescent="0.25">
      <c r="A5" t="s">
        <v>129</v>
      </c>
      <c r="B5" s="4">
        <f>'Formated PL'!B9</f>
        <v>236.34559999999999</v>
      </c>
      <c r="C5" s="4">
        <f>'Formated PL'!C9</f>
        <v>418.61399999999998</v>
      </c>
      <c r="D5" s="4">
        <f>'Formated PL'!D9</f>
        <v>741.57</v>
      </c>
      <c r="E5" s="4">
        <f>'Formated PL'!E9</f>
        <v>776.7700000000001</v>
      </c>
      <c r="F5" s="4">
        <f>'Formated PL'!F9</f>
        <v>860.52</v>
      </c>
      <c r="G5" s="4">
        <f>'Formated PL'!G9</f>
        <v>925.37234999999987</v>
      </c>
      <c r="H5" s="4">
        <f>'Formated PL'!H9</f>
        <v>1020.223015875</v>
      </c>
      <c r="I5" s="4">
        <f>'Formated PL'!I9</f>
        <v>1124.7958750021876</v>
      </c>
      <c r="J5" s="4">
        <f>'Formated PL'!J9</f>
        <v>1240.0874521899118</v>
      </c>
      <c r="K5" s="4">
        <f>'Formated PL'!K9</f>
        <v>1367.1964160393777</v>
      </c>
    </row>
    <row r="6" spans="1:11" x14ac:dyDescent="0.25">
      <c r="A6" t="s">
        <v>129</v>
      </c>
      <c r="B6" s="4">
        <f>B5</f>
        <v>236.34559999999999</v>
      </c>
      <c r="C6" s="4">
        <f t="shared" ref="C6:K6" si="0">C5</f>
        <v>418.61399999999998</v>
      </c>
      <c r="D6" s="4">
        <f t="shared" si="0"/>
        <v>741.57</v>
      </c>
      <c r="E6" s="4">
        <f t="shared" si="0"/>
        <v>776.7700000000001</v>
      </c>
      <c r="F6" s="4">
        <f t="shared" si="0"/>
        <v>860.52</v>
      </c>
      <c r="G6" s="4">
        <f t="shared" si="0"/>
        <v>925.37234999999987</v>
      </c>
      <c r="H6" s="4">
        <f t="shared" si="0"/>
        <v>1020.223015875</v>
      </c>
      <c r="I6" s="4">
        <f t="shared" si="0"/>
        <v>1124.7958750021876</v>
      </c>
      <c r="J6" s="4">
        <f t="shared" si="0"/>
        <v>1240.0874521899118</v>
      </c>
      <c r="K6" s="4">
        <f t="shared" si="0"/>
        <v>1367.1964160393777</v>
      </c>
    </row>
    <row r="8" spans="1:11" x14ac:dyDescent="0.25">
      <c r="A8" t="s">
        <v>175</v>
      </c>
      <c r="B8" s="1">
        <f>BS!B19</f>
        <v>26.810100000000002</v>
      </c>
      <c r="C8" s="1">
        <f>BS!C19</f>
        <v>15.396500000000001</v>
      </c>
      <c r="D8" s="1">
        <f>BS!D19</f>
        <v>38.47</v>
      </c>
      <c r="E8" s="1">
        <f>BS!E19</f>
        <v>47.99</v>
      </c>
      <c r="F8" s="1">
        <f>BS!F19</f>
        <v>57.28</v>
      </c>
      <c r="G8" s="1">
        <f>(G12*G4/365)</f>
        <v>63.151199999999996</v>
      </c>
      <c r="H8" s="1">
        <f t="shared" ref="H8:K9" si="1">H12*H4/365</f>
        <v>69.624198000000007</v>
      </c>
      <c r="I8" s="1">
        <f t="shared" si="1"/>
        <v>76.760678295000019</v>
      </c>
      <c r="J8" s="1">
        <f t="shared" si="1"/>
        <v>84.628647820237518</v>
      </c>
      <c r="K8" s="1">
        <f t="shared" si="1"/>
        <v>93.303084221811872</v>
      </c>
    </row>
    <row r="9" spans="1:11" x14ac:dyDescent="0.25">
      <c r="A9" t="s">
        <v>176</v>
      </c>
      <c r="B9" s="1">
        <f>BS!B17</f>
        <v>28.047699999999999</v>
      </c>
      <c r="C9" s="1">
        <f>BS!C17</f>
        <v>33.730199999999996</v>
      </c>
      <c r="D9" s="1">
        <f>BS!D17</f>
        <v>49.1</v>
      </c>
      <c r="E9" s="1">
        <f>BS!E17</f>
        <v>48.12</v>
      </c>
      <c r="F9" s="1">
        <f>BS!F17</f>
        <v>41.52</v>
      </c>
      <c r="G9" s="1">
        <f>(G13*G5/365)</f>
        <v>44.649119104727376</v>
      </c>
      <c r="H9" s="1">
        <f t="shared" si="1"/>
        <v>49.225653812961937</v>
      </c>
      <c r="I9" s="1">
        <f t="shared" si="1"/>
        <v>54.271283328790545</v>
      </c>
      <c r="J9" s="1">
        <f t="shared" si="1"/>
        <v>59.834089869991573</v>
      </c>
      <c r="K9" s="1">
        <f t="shared" si="1"/>
        <v>65.967084081665703</v>
      </c>
    </row>
    <row r="10" spans="1:11" x14ac:dyDescent="0.25">
      <c r="A10" t="s">
        <v>177</v>
      </c>
      <c r="B10" s="1">
        <f>BS!B46</f>
        <v>38.472700000000003</v>
      </c>
      <c r="C10" s="1">
        <f>BS!C46</f>
        <v>50.334499999999998</v>
      </c>
      <c r="D10" s="1">
        <f>BS!D46</f>
        <v>88.24</v>
      </c>
      <c r="E10" s="1">
        <f>BS!E46</f>
        <v>90.81</v>
      </c>
      <c r="F10" s="1">
        <f>BS!F46</f>
        <v>105.15</v>
      </c>
      <c r="G10" s="1">
        <f>(G14*G6/365)</f>
        <v>113.07453935120623</v>
      </c>
      <c r="H10" s="1">
        <f>(H14*H6/365)</f>
        <v>124.6646796347049</v>
      </c>
      <c r="I10" s="1">
        <f>(I14*I6/365)</f>
        <v>137.44280929726213</v>
      </c>
      <c r="J10" s="1">
        <f>(J14*J6/365)</f>
        <v>151.53069725023153</v>
      </c>
      <c r="K10" s="1">
        <f>(K14*K6/365)</f>
        <v>167.06259371838024</v>
      </c>
    </row>
    <row r="12" spans="1:11" x14ac:dyDescent="0.25">
      <c r="A12" t="s">
        <v>178</v>
      </c>
      <c r="B12" s="5">
        <f t="shared" ref="B12:F14" si="2">365*B8/B4</f>
        <v>28.768611927332383</v>
      </c>
      <c r="C12" s="5">
        <f t="shared" si="2"/>
        <v>10.2643839522131</v>
      </c>
      <c r="D12" s="5">
        <f t="shared" si="2"/>
        <v>15.096979862163876</v>
      </c>
      <c r="E12" s="5">
        <f t="shared" si="2"/>
        <v>17.531427027243431</v>
      </c>
      <c r="F12" s="5">
        <f t="shared" si="2"/>
        <v>18.681821431124458</v>
      </c>
      <c r="G12" s="5">
        <v>18.681821431124458</v>
      </c>
      <c r="H12" s="5">
        <f t="shared" ref="H12:K12" si="3">G12</f>
        <v>18.681821431124458</v>
      </c>
      <c r="I12" s="5">
        <f t="shared" si="3"/>
        <v>18.681821431124458</v>
      </c>
      <c r="J12" s="5">
        <f t="shared" si="3"/>
        <v>18.681821431124458</v>
      </c>
      <c r="K12" s="5">
        <f t="shared" si="3"/>
        <v>18.681821431124458</v>
      </c>
    </row>
    <row r="13" spans="1:11" x14ac:dyDescent="0.25">
      <c r="A13" t="s">
        <v>179</v>
      </c>
      <c r="B13" s="5">
        <f t="shared" si="2"/>
        <v>43.315426646402557</v>
      </c>
      <c r="C13" s="5">
        <f t="shared" si="2"/>
        <v>29.410203672117991</v>
      </c>
      <c r="D13" s="5">
        <f t="shared" si="2"/>
        <v>24.166970076998798</v>
      </c>
      <c r="E13" s="5">
        <f t="shared" si="2"/>
        <v>22.611326390051104</v>
      </c>
      <c r="F13" s="5">
        <f t="shared" si="2"/>
        <v>17.611211825407896</v>
      </c>
      <c r="G13" s="5">
        <v>17.611211825407896</v>
      </c>
      <c r="H13" s="5">
        <f t="shared" ref="H13:K13" si="4">G13</f>
        <v>17.611211825407896</v>
      </c>
      <c r="I13" s="5">
        <f t="shared" si="4"/>
        <v>17.611211825407896</v>
      </c>
      <c r="J13" s="5">
        <f t="shared" si="4"/>
        <v>17.611211825407896</v>
      </c>
      <c r="K13" s="5">
        <f t="shared" si="4"/>
        <v>17.611211825407896</v>
      </c>
    </row>
    <row r="14" spans="1:11" x14ac:dyDescent="0.25">
      <c r="A14" t="s">
        <v>180</v>
      </c>
      <c r="B14" s="5">
        <f t="shared" si="2"/>
        <v>59.4152609568361</v>
      </c>
      <c r="C14" s="5">
        <f t="shared" si="2"/>
        <v>43.88790747562193</v>
      </c>
      <c r="D14" s="5">
        <f t="shared" si="2"/>
        <v>43.431638280944476</v>
      </c>
      <c r="E14" s="5">
        <f t="shared" si="2"/>
        <v>42.671125300925624</v>
      </c>
      <c r="F14" s="5">
        <f t="shared" si="2"/>
        <v>44.600648445126204</v>
      </c>
      <c r="G14" s="5">
        <v>44.600648445126204</v>
      </c>
      <c r="H14" s="5">
        <f t="shared" ref="H14:K14" si="5">G14</f>
        <v>44.600648445126204</v>
      </c>
      <c r="I14" s="5">
        <f t="shared" si="5"/>
        <v>44.600648445126204</v>
      </c>
      <c r="J14" s="5">
        <f t="shared" si="5"/>
        <v>44.600648445126204</v>
      </c>
      <c r="K14" s="5">
        <f t="shared" si="5"/>
        <v>44.600648445126204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5A81-82BC-49FB-B8B9-A0C29C3D31F7}">
  <dimension ref="A1:I20"/>
  <sheetViews>
    <sheetView workbookViewId="0">
      <selection activeCell="G27" sqref="G27"/>
    </sheetView>
  </sheetViews>
  <sheetFormatPr defaultRowHeight="15" x14ac:dyDescent="0.25"/>
  <cols>
    <col min="1" max="1" width="43.5703125" bestFit="1" customWidth="1"/>
    <col min="2" max="3" width="9.28515625" bestFit="1" customWidth="1"/>
    <col min="4" max="9" width="9.5703125" bestFit="1" customWidth="1"/>
  </cols>
  <sheetData>
    <row r="1" spans="1:9" x14ac:dyDescent="0.25">
      <c r="A1" t="s">
        <v>157</v>
      </c>
      <c r="B1" s="3">
        <f>'[1]FOMATED P&amp;L'!D2</f>
        <v>2023</v>
      </c>
      <c r="C1" s="3">
        <f>'[1]FOMATED P&amp;L'!E2</f>
        <v>2024</v>
      </c>
      <c r="D1" s="3">
        <f>'[1]FOMATED P&amp;L'!F2</f>
        <v>2025</v>
      </c>
      <c r="E1" s="3" t="str">
        <f>'[1]FOMATED P&amp;L'!G2</f>
        <v>F2026</v>
      </c>
      <c r="F1" s="3" t="str">
        <f>'[1]FOMATED P&amp;L'!H2</f>
        <v>F2027</v>
      </c>
      <c r="G1" s="3" t="str">
        <f>'[1]FOMATED P&amp;L'!I2</f>
        <v>F2028</v>
      </c>
      <c r="H1" s="3" t="str">
        <f>'[1]FOMATED P&amp;L'!J2</f>
        <v>F2029</v>
      </c>
      <c r="I1" s="3" t="str">
        <f>'[1]FOMATED P&amp;L'!K2</f>
        <v>F2030</v>
      </c>
    </row>
    <row r="2" spans="1:9" x14ac:dyDescent="0.25">
      <c r="A2" t="s">
        <v>158</v>
      </c>
      <c r="B2" s="3"/>
      <c r="C2" s="3"/>
      <c r="D2" s="3"/>
      <c r="E2" s="3"/>
      <c r="F2" s="3"/>
      <c r="G2" s="3"/>
      <c r="H2" s="3"/>
      <c r="I2" s="3"/>
    </row>
    <row r="3" spans="1:9" x14ac:dyDescent="0.25">
      <c r="A3" t="s">
        <v>159</v>
      </c>
      <c r="B3" s="1">
        <v>118.35</v>
      </c>
      <c r="C3" s="1">
        <f>B6</f>
        <v>116.44999999999999</v>
      </c>
      <c r="D3" s="1">
        <f>C6</f>
        <v>144.62999999999997</v>
      </c>
      <c r="E3" s="1">
        <f>D6</f>
        <v>181.59999999999997</v>
      </c>
      <c r="F3" s="1">
        <f t="shared" ref="F3:I3" si="0">E6</f>
        <v>206.27659599999996</v>
      </c>
      <c r="G3" s="1">
        <f t="shared" si="0"/>
        <v>233.48254308999995</v>
      </c>
      <c r="H3" s="1">
        <f t="shared" si="0"/>
        <v>263.47709975672495</v>
      </c>
      <c r="I3" s="1">
        <f t="shared" si="0"/>
        <v>296.54609848178927</v>
      </c>
    </row>
    <row r="4" spans="1:9" x14ac:dyDescent="0.25">
      <c r="A4" t="s">
        <v>160</v>
      </c>
      <c r="B4" s="1">
        <v>7.58</v>
      </c>
      <c r="C4" s="1">
        <v>37.479999999999997</v>
      </c>
      <c r="D4" s="1">
        <v>46.21</v>
      </c>
      <c r="E4" s="1">
        <f>(E20*'Formated PL'!G7)</f>
        <v>24.676595999999996</v>
      </c>
      <c r="F4" s="1">
        <f>F20*'Formated PL'!H7</f>
        <v>27.205947089999999</v>
      </c>
      <c r="G4" s="1">
        <f>G20*'Formated PL'!I7</f>
        <v>29.994556666725003</v>
      </c>
      <c r="H4" s="1">
        <f>H20*'Formated PL'!J7</f>
        <v>33.068998725064318</v>
      </c>
      <c r="I4" s="1">
        <f>I20*'Formated PL'!K7</f>
        <v>36.458571094383409</v>
      </c>
    </row>
    <row r="5" spans="1:9" x14ac:dyDescent="0.25">
      <c r="A5" t="s">
        <v>161</v>
      </c>
      <c r="B5" s="1">
        <v>-9.48</v>
      </c>
      <c r="C5" s="1">
        <v>-9.3000000000000007</v>
      </c>
      <c r="D5" s="1">
        <v>-9.24</v>
      </c>
      <c r="E5" s="1"/>
      <c r="F5" s="1"/>
      <c r="G5" s="1"/>
      <c r="H5" s="1"/>
      <c r="I5" s="1"/>
    </row>
    <row r="6" spans="1:9" x14ac:dyDescent="0.25">
      <c r="A6" t="s">
        <v>162</v>
      </c>
      <c r="B6" s="1">
        <f t="shared" ref="B6:D6" si="1">SUM(B3:B5)</f>
        <v>116.44999999999999</v>
      </c>
      <c r="C6" s="1">
        <f t="shared" si="1"/>
        <v>144.62999999999997</v>
      </c>
      <c r="D6" s="1">
        <f t="shared" si="1"/>
        <v>181.59999999999997</v>
      </c>
      <c r="E6" s="1">
        <f>SUM(E3:E5)</f>
        <v>206.27659599999996</v>
      </c>
      <c r="F6" s="1">
        <f t="shared" ref="F6:I6" si="2">SUM(F3:F5)</f>
        <v>233.48254308999995</v>
      </c>
      <c r="G6" s="1">
        <f t="shared" si="2"/>
        <v>263.47709975672495</v>
      </c>
      <c r="H6" s="1">
        <f t="shared" si="2"/>
        <v>296.54609848178927</v>
      </c>
      <c r="I6" s="1">
        <f t="shared" si="2"/>
        <v>333.00466957617266</v>
      </c>
    </row>
    <row r="7" spans="1:9" x14ac:dyDescent="0.25">
      <c r="B7" s="3"/>
      <c r="C7" s="3"/>
      <c r="D7" s="3"/>
      <c r="E7" s="3"/>
      <c r="F7" s="3"/>
      <c r="G7" s="3"/>
      <c r="H7" s="3"/>
      <c r="I7" s="3"/>
    </row>
    <row r="8" spans="1:9" x14ac:dyDescent="0.25">
      <c r="B8" s="3"/>
      <c r="C8" s="3"/>
      <c r="D8" s="3"/>
      <c r="E8" s="3"/>
      <c r="F8" s="3"/>
      <c r="G8" s="3"/>
      <c r="H8" s="3"/>
      <c r="I8" s="3"/>
    </row>
    <row r="9" spans="1:9" x14ac:dyDescent="0.25">
      <c r="A9" t="s">
        <v>163</v>
      </c>
      <c r="B9" s="3"/>
      <c r="C9" s="3"/>
      <c r="D9" s="3"/>
      <c r="E9" s="3"/>
      <c r="F9" s="3"/>
      <c r="G9" s="3"/>
      <c r="H9" s="3"/>
      <c r="I9" s="3"/>
    </row>
    <row r="10" spans="1:9" x14ac:dyDescent="0.25">
      <c r="A10" t="s">
        <v>159</v>
      </c>
      <c r="B10" s="1">
        <v>71.95</v>
      </c>
      <c r="C10" s="1">
        <f>B13</f>
        <v>74.83</v>
      </c>
      <c r="D10" s="1">
        <f>C13</f>
        <v>78.88</v>
      </c>
      <c r="E10" s="1">
        <f>D13</f>
        <v>87.02</v>
      </c>
      <c r="F10" s="1">
        <f t="shared" ref="F10:I10" si="3">E13</f>
        <v>104.78041491559999</v>
      </c>
      <c r="G10" s="1">
        <f t="shared" si="3"/>
        <v>124.88326187564898</v>
      </c>
      <c r="H10" s="1">
        <f t="shared" si="3"/>
        <v>147.568640164703</v>
      </c>
      <c r="I10" s="1">
        <f t="shared" si="3"/>
        <v>173.10125924398506</v>
      </c>
    </row>
    <row r="11" spans="1:9" x14ac:dyDescent="0.25">
      <c r="A11" t="s">
        <v>164</v>
      </c>
      <c r="B11" s="1">
        <v>10.52</v>
      </c>
      <c r="C11" s="1">
        <v>11.81</v>
      </c>
      <c r="D11" s="1">
        <v>15.66</v>
      </c>
      <c r="E11" s="1">
        <f>E19*E6</f>
        <v>17.760414915599995</v>
      </c>
      <c r="F11" s="1">
        <f t="shared" ref="F11:I11" si="4">F19*F6</f>
        <v>20.102846960048996</v>
      </c>
      <c r="G11" s="1">
        <f t="shared" si="4"/>
        <v>22.685378289054018</v>
      </c>
      <c r="H11" s="1">
        <f t="shared" si="4"/>
        <v>25.532619079282057</v>
      </c>
      <c r="I11" s="1">
        <f t="shared" si="4"/>
        <v>28.671702050508465</v>
      </c>
    </row>
    <row r="12" spans="1:9" x14ac:dyDescent="0.25">
      <c r="A12" t="s">
        <v>165</v>
      </c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t="s">
        <v>162</v>
      </c>
      <c r="B13" s="1">
        <v>74.83</v>
      </c>
      <c r="C13" s="1">
        <v>78.88</v>
      </c>
      <c r="D13" s="1">
        <v>87.02</v>
      </c>
      <c r="E13" s="1">
        <f>SUM(E10:E12)</f>
        <v>104.78041491559999</v>
      </c>
      <c r="F13" s="1">
        <f t="shared" ref="F13:I13" si="5">SUM(F10:F12)</f>
        <v>124.88326187564898</v>
      </c>
      <c r="G13" s="1">
        <f t="shared" si="5"/>
        <v>147.568640164703</v>
      </c>
      <c r="H13" s="1">
        <f t="shared" si="5"/>
        <v>173.10125924398506</v>
      </c>
      <c r="I13" s="1">
        <f t="shared" si="5"/>
        <v>201.77296129449351</v>
      </c>
    </row>
    <row r="14" spans="1:9" x14ac:dyDescent="0.25">
      <c r="B14" s="3"/>
      <c r="C14" s="3"/>
      <c r="D14" s="3"/>
      <c r="E14" s="3"/>
      <c r="F14" s="3"/>
      <c r="G14" s="3"/>
      <c r="H14" s="3"/>
      <c r="I14" s="3"/>
    </row>
    <row r="15" spans="1:9" x14ac:dyDescent="0.25"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t="s">
        <v>166</v>
      </c>
      <c r="B16" s="25">
        <f>B6-B13</f>
        <v>41.61999999999999</v>
      </c>
      <c r="C16" s="25">
        <f t="shared" ref="C16:I16" si="6">C6-C13</f>
        <v>65.749999999999972</v>
      </c>
      <c r="D16" s="25">
        <f t="shared" si="6"/>
        <v>94.57999999999997</v>
      </c>
      <c r="E16" s="25">
        <f t="shared" si="6"/>
        <v>101.49618108439996</v>
      </c>
      <c r="F16" s="25">
        <f t="shared" si="6"/>
        <v>108.59928121435097</v>
      </c>
      <c r="G16" s="25">
        <f t="shared" si="6"/>
        <v>115.90845959202196</v>
      </c>
      <c r="H16" s="25">
        <f t="shared" si="6"/>
        <v>123.44483923780422</v>
      </c>
      <c r="I16" s="25">
        <f t="shared" si="6"/>
        <v>131.23170828167915</v>
      </c>
    </row>
    <row r="17" spans="1:9" x14ac:dyDescent="0.25">
      <c r="B17" s="3"/>
      <c r="C17" s="3"/>
      <c r="D17" s="3"/>
      <c r="E17" s="3"/>
      <c r="F17" s="3"/>
      <c r="G17" s="3"/>
      <c r="H17" s="3"/>
      <c r="I17" s="3"/>
    </row>
    <row r="18" spans="1:9" x14ac:dyDescent="0.25"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t="s">
        <v>167</v>
      </c>
      <c r="B19" s="6">
        <f>B11/B6</f>
        <v>9.0339201373980257E-2</v>
      </c>
      <c r="C19" s="6">
        <f t="shared" ref="C19:D19" si="7">C11/C6</f>
        <v>8.1656641084145776E-2</v>
      </c>
      <c r="D19" s="6">
        <f t="shared" si="7"/>
        <v>8.6233480176211477E-2</v>
      </c>
      <c r="E19" s="7">
        <v>8.6099999999999996E-2</v>
      </c>
      <c r="F19" s="7">
        <f>E19</f>
        <v>8.6099999999999996E-2</v>
      </c>
      <c r="G19" s="7">
        <f t="shared" ref="G19:I19" si="8">F19</f>
        <v>8.6099999999999996E-2</v>
      </c>
      <c r="H19" s="7">
        <f t="shared" si="8"/>
        <v>8.6099999999999996E-2</v>
      </c>
      <c r="I19" s="7">
        <f t="shared" si="8"/>
        <v>8.6099999999999996E-2</v>
      </c>
    </row>
    <row r="20" spans="1:9" x14ac:dyDescent="0.25">
      <c r="A20" t="s">
        <v>168</v>
      </c>
      <c r="B20" s="6">
        <f>B4/'Formated PL'!D7</f>
        <v>8.1497489490264374E-3</v>
      </c>
      <c r="C20" s="6">
        <f>C4/'Formated PL'!E7</f>
        <v>3.7512260544067894E-2</v>
      </c>
      <c r="D20" s="6">
        <f>D4/'Formated PL'!F7</f>
        <v>4.1291371792122389E-2</v>
      </c>
      <c r="E20" s="7">
        <v>0.02</v>
      </c>
      <c r="F20" s="7">
        <f>E20</f>
        <v>0.02</v>
      </c>
      <c r="G20" s="7">
        <f t="shared" ref="G20:I20" si="9">F20</f>
        <v>0.02</v>
      </c>
      <c r="H20" s="7">
        <f t="shared" si="9"/>
        <v>0.02</v>
      </c>
      <c r="I20" s="7">
        <f t="shared" si="9"/>
        <v>0.02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938C-EA71-41B8-8BCE-AE57C501DBEF}">
  <dimension ref="A1:K8"/>
  <sheetViews>
    <sheetView workbookViewId="0">
      <selection activeCell="I23" sqref="I23"/>
    </sheetView>
  </sheetViews>
  <sheetFormatPr defaultRowHeight="15" x14ac:dyDescent="0.25"/>
  <cols>
    <col min="1" max="1" width="20.5703125" bestFit="1" customWidth="1"/>
  </cols>
  <sheetData>
    <row r="1" spans="1:11" x14ac:dyDescent="0.25">
      <c r="A1" t="s">
        <v>169</v>
      </c>
      <c r="B1" s="3">
        <f>'Formated PL'!B2</f>
        <v>2021</v>
      </c>
      <c r="C1" s="3">
        <f>'Formated PL'!C2</f>
        <v>2022</v>
      </c>
      <c r="D1" s="3">
        <f>'Formated PL'!D2</f>
        <v>2023</v>
      </c>
      <c r="E1" s="3">
        <f>'Formated PL'!E2</f>
        <v>2024</v>
      </c>
      <c r="F1" s="3">
        <f>'Formated PL'!F2</f>
        <v>2025</v>
      </c>
      <c r="G1" s="3" t="str">
        <f>'Formated PL'!G2</f>
        <v>F2026</v>
      </c>
      <c r="H1" s="3" t="str">
        <f>'Formated PL'!H2</f>
        <v>F2027</v>
      </c>
      <c r="I1" s="3" t="str">
        <f>'Formated PL'!I2</f>
        <v>F2028</v>
      </c>
      <c r="J1" s="3" t="str">
        <f>'Formated PL'!J2</f>
        <v>F2029</v>
      </c>
      <c r="K1" s="3" t="str">
        <f>'Formated PL'!K2</f>
        <v>F2030</v>
      </c>
    </row>
    <row r="2" spans="1:11" x14ac:dyDescent="0.25">
      <c r="A2" t="s">
        <v>159</v>
      </c>
      <c r="B2" s="3">
        <v>0</v>
      </c>
      <c r="C2" s="1"/>
      <c r="D2" s="3"/>
      <c r="E2" s="3"/>
      <c r="F2" s="3"/>
      <c r="G2" s="1">
        <f>F5</f>
        <v>21.41</v>
      </c>
      <c r="H2" s="1">
        <f t="shared" ref="H2:K2" si="0">G5</f>
        <v>40.286901431611923</v>
      </c>
      <c r="I2" s="1">
        <f t="shared" si="0"/>
        <v>58.414691693576131</v>
      </c>
      <c r="J2" s="1">
        <f t="shared" si="0"/>
        <v>75.347158535803686</v>
      </c>
      <c r="K2" s="1">
        <f t="shared" si="0"/>
        <v>90.533244415739603</v>
      </c>
    </row>
    <row r="3" spans="1:11" x14ac:dyDescent="0.25">
      <c r="A3" t="s">
        <v>170</v>
      </c>
      <c r="B3" s="1">
        <f>'Formated PL'!B31</f>
        <v>0.85370000000001423</v>
      </c>
      <c r="C3" s="1">
        <f>'Formated PL'!C31</f>
        <v>2.1971000000000225</v>
      </c>
      <c r="D3" s="1">
        <f>'Formated PL'!D31</f>
        <v>6.1599999999999984</v>
      </c>
      <c r="E3" s="1">
        <f>'Formated PL'!E31</f>
        <v>7.5099999999998728</v>
      </c>
      <c r="F3" s="1">
        <f>'Formated PL'!F31</f>
        <v>5.7299999999998992</v>
      </c>
      <c r="G3" s="1">
        <f>'Formated PL'!G31</f>
        <v>18.87690143161192</v>
      </c>
      <c r="H3" s="1">
        <f>'Formated PL'!H31</f>
        <v>18.127790261964208</v>
      </c>
      <c r="I3" s="1">
        <f>'Formated PL'!I31</f>
        <v>16.932466842227562</v>
      </c>
      <c r="J3" s="1">
        <f>'Formated PL'!J31</f>
        <v>15.186085879935911</v>
      </c>
      <c r="K3" s="1">
        <f>'Formated PL'!K31</f>
        <v>12.763598074252226</v>
      </c>
    </row>
    <row r="4" spans="1:11" x14ac:dyDescent="0.25">
      <c r="A4" t="s">
        <v>171</v>
      </c>
      <c r="B4" s="1">
        <f>CF!B37</f>
        <v>0</v>
      </c>
      <c r="C4" s="1">
        <f>CF!C37</f>
        <v>0</v>
      </c>
      <c r="D4" s="1">
        <f>CF!D37</f>
        <v>-0.11</v>
      </c>
      <c r="E4" s="1">
        <f>CF!E37</f>
        <v>-0.13</v>
      </c>
      <c r="F4" s="1">
        <f>CF!F37</f>
        <v>-0.13</v>
      </c>
      <c r="G4" s="3"/>
      <c r="H4" s="3"/>
      <c r="I4" s="3"/>
      <c r="J4" s="3"/>
      <c r="K4" s="3"/>
    </row>
    <row r="5" spans="1:11" x14ac:dyDescent="0.25">
      <c r="A5" s="26" t="s">
        <v>162</v>
      </c>
      <c r="B5" s="27">
        <f>BS!B30</f>
        <v>2.7236000000000002</v>
      </c>
      <c r="C5" s="27">
        <f>BS!C30</f>
        <v>4.4238999999999997</v>
      </c>
      <c r="D5" s="27">
        <f>BS!D30</f>
        <v>10.199999999999999</v>
      </c>
      <c r="E5" s="27">
        <f>BS!E30</f>
        <v>17.2</v>
      </c>
      <c r="F5" s="27">
        <f>BS!F30</f>
        <v>21.41</v>
      </c>
      <c r="G5" s="27">
        <f>SUM(G2:G4)</f>
        <v>40.286901431611923</v>
      </c>
      <c r="H5" s="27">
        <f t="shared" ref="H5:K5" si="1">SUM(H2:H4)</f>
        <v>58.414691693576131</v>
      </c>
      <c r="I5" s="27">
        <f t="shared" si="1"/>
        <v>75.347158535803686</v>
      </c>
      <c r="J5" s="27">
        <f t="shared" si="1"/>
        <v>90.533244415739603</v>
      </c>
      <c r="K5" s="27">
        <f t="shared" si="1"/>
        <v>103.29684248999183</v>
      </c>
    </row>
    <row r="6" spans="1:11" x14ac:dyDescent="0.25"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5"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t="s">
        <v>172</v>
      </c>
      <c r="B8" s="6">
        <f>-B4/B3</f>
        <v>0</v>
      </c>
      <c r="C8" s="6">
        <f t="shared" ref="C8:J8" si="2">-C4/C3</f>
        <v>0</v>
      </c>
      <c r="D8" s="6">
        <f t="shared" si="2"/>
        <v>1.7857142857142863E-2</v>
      </c>
      <c r="E8" s="6">
        <f t="shared" si="2"/>
        <v>1.731025299600562E-2</v>
      </c>
      <c r="F8" s="6">
        <f t="shared" si="2"/>
        <v>2.2687609075044031E-2</v>
      </c>
      <c r="G8" s="3">
        <f t="shared" si="2"/>
        <v>0</v>
      </c>
      <c r="H8" s="3">
        <f t="shared" si="2"/>
        <v>0</v>
      </c>
      <c r="I8" s="3">
        <f t="shared" si="2"/>
        <v>0</v>
      </c>
      <c r="J8" s="3">
        <f t="shared" si="2"/>
        <v>0</v>
      </c>
      <c r="K8" s="3">
        <f>-K4/K3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5EF2-1318-41F7-BA7C-84955B5951FE}">
  <dimension ref="B1:J9"/>
  <sheetViews>
    <sheetView workbookViewId="0">
      <selection activeCell="I12" sqref="I12"/>
    </sheetView>
  </sheetViews>
  <sheetFormatPr defaultRowHeight="15" x14ac:dyDescent="0.25"/>
  <cols>
    <col min="2" max="2" width="39.28515625" bestFit="1" customWidth="1"/>
    <col min="3" max="3" width="7.5703125" style="3" bestFit="1" customWidth="1"/>
    <col min="4" max="4" width="12.5703125" bestFit="1" customWidth="1"/>
    <col min="5" max="5" width="5.85546875" bestFit="1" customWidth="1"/>
    <col min="6" max="6" width="7.5703125" bestFit="1" customWidth="1"/>
    <col min="7" max="7" width="10.7109375" bestFit="1" customWidth="1"/>
    <col min="8" max="8" width="13.140625" bestFit="1" customWidth="1"/>
    <col min="9" max="9" width="19.140625" bestFit="1" customWidth="1"/>
    <col min="10" max="10" width="17.85546875" bestFit="1" customWidth="1"/>
  </cols>
  <sheetData>
    <row r="1" spans="2:10" x14ac:dyDescent="0.25">
      <c r="B1" s="14" t="s">
        <v>119</v>
      </c>
      <c r="C1" s="13" t="s">
        <v>117</v>
      </c>
      <c r="E1" s="12" t="s">
        <v>152</v>
      </c>
      <c r="F1" s="13" t="s">
        <v>153</v>
      </c>
      <c r="G1" s="14" t="s">
        <v>118</v>
      </c>
      <c r="H1" s="14" t="s">
        <v>154</v>
      </c>
      <c r="I1" s="14" t="s">
        <v>155</v>
      </c>
      <c r="J1" s="14" t="s">
        <v>156</v>
      </c>
    </row>
    <row r="2" spans="2:10" x14ac:dyDescent="0.25">
      <c r="B2" s="23" t="s">
        <v>111</v>
      </c>
      <c r="C2" s="24">
        <v>280</v>
      </c>
      <c r="E2" s="15">
        <v>2030</v>
      </c>
      <c r="F2" s="16">
        <f>(G2*H2)/10^7</f>
        <v>1737.7602107034402</v>
      </c>
      <c r="G2" s="17">
        <f t="shared" ref="G2:G5" si="0">G3*(1+I2)</f>
        <v>197.82364218750004</v>
      </c>
      <c r="H2" s="17">
        <f t="shared" ref="H2:H5" si="1">H3*(1+J2)</f>
        <v>87843909.427992761</v>
      </c>
      <c r="I2" s="18">
        <v>0.05</v>
      </c>
      <c r="J2" s="19">
        <v>0.04</v>
      </c>
    </row>
    <row r="3" spans="2:10" x14ac:dyDescent="0.25">
      <c r="B3" s="23" t="s">
        <v>112</v>
      </c>
      <c r="C3" s="24">
        <v>220</v>
      </c>
      <c r="E3" s="15">
        <v>2029</v>
      </c>
      <c r="F3" s="16">
        <f t="shared" ref="F3:F5" si="2">(G3*H3)/10^7</f>
        <v>1591.3555043071794</v>
      </c>
      <c r="G3" s="17">
        <f t="shared" si="0"/>
        <v>188.40346875000003</v>
      </c>
      <c r="H3" s="17">
        <f t="shared" si="1"/>
        <v>84465297.526916116</v>
      </c>
      <c r="I3" s="18">
        <v>0.05</v>
      </c>
      <c r="J3" s="19">
        <v>0.04</v>
      </c>
    </row>
    <row r="4" spans="2:10" x14ac:dyDescent="0.25">
      <c r="B4" s="23" t="s">
        <v>113</v>
      </c>
      <c r="C4" s="24">
        <v>290</v>
      </c>
      <c r="E4" s="15">
        <v>2028</v>
      </c>
      <c r="F4" s="16">
        <f t="shared" si="2"/>
        <v>1457.2852603545598</v>
      </c>
      <c r="G4" s="17">
        <f t="shared" si="0"/>
        <v>179.43187500000002</v>
      </c>
      <c r="H4" s="17">
        <f t="shared" si="1"/>
        <v>81216632.237419337</v>
      </c>
      <c r="I4" s="18">
        <v>0.05</v>
      </c>
      <c r="J4" s="19">
        <v>0.04</v>
      </c>
    </row>
    <row r="5" spans="2:10" x14ac:dyDescent="0.25">
      <c r="B5" s="23" t="s">
        <v>114</v>
      </c>
      <c r="C5" s="24">
        <v>40</v>
      </c>
      <c r="E5" s="15">
        <v>2027</v>
      </c>
      <c r="F5" s="16">
        <f t="shared" si="2"/>
        <v>1334.5103116799996</v>
      </c>
      <c r="G5" s="17">
        <f t="shared" si="0"/>
        <v>170.88750000000002</v>
      </c>
      <c r="H5" s="17">
        <f t="shared" si="1"/>
        <v>78092915.612903208</v>
      </c>
      <c r="I5" s="18">
        <v>0.05</v>
      </c>
      <c r="J5" s="19">
        <v>0.04</v>
      </c>
    </row>
    <row r="6" spans="2:10" x14ac:dyDescent="0.25">
      <c r="B6" s="23" t="s">
        <v>115</v>
      </c>
      <c r="C6" s="24">
        <v>50</v>
      </c>
      <c r="E6" s="15">
        <v>2026</v>
      </c>
      <c r="F6" s="16">
        <f>(G6*H6)/10^7</f>
        <v>1222.0790399999998</v>
      </c>
      <c r="G6" s="17">
        <f>G7*(1+I6)</f>
        <v>162.75</v>
      </c>
      <c r="H6" s="17">
        <f>H7*(1+J6)</f>
        <v>75089341.935483858</v>
      </c>
      <c r="I6" s="18">
        <v>0.05</v>
      </c>
      <c r="J6" s="19">
        <v>0.04</v>
      </c>
    </row>
    <row r="7" spans="2:10" x14ac:dyDescent="0.25">
      <c r="B7" s="23" t="s">
        <v>116</v>
      </c>
      <c r="C7" s="24">
        <v>50</v>
      </c>
      <c r="E7" s="15">
        <v>2025</v>
      </c>
      <c r="F7" s="16">
        <f>'Formated PL'!F7</f>
        <v>1119.1199999999999</v>
      </c>
      <c r="G7" s="20">
        <v>155</v>
      </c>
      <c r="H7" s="17">
        <f>(F7*10^7)/G7</f>
        <v>72201290.322580636</v>
      </c>
      <c r="I7" s="21">
        <v>7.0000000000000007E-2</v>
      </c>
      <c r="J7" s="22">
        <v>0.05</v>
      </c>
    </row>
    <row r="8" spans="2:10" x14ac:dyDescent="0.25">
      <c r="B8" s="23" t="s">
        <v>118</v>
      </c>
      <c r="C8" s="24">
        <v>155</v>
      </c>
      <c r="E8" s="15">
        <v>2024</v>
      </c>
      <c r="F8" s="16">
        <f>'Formated PL'!E7</f>
        <v>999.14</v>
      </c>
      <c r="G8" s="20">
        <v>145</v>
      </c>
      <c r="H8" s="17">
        <f t="shared" ref="H8:H9" si="3">(F8*10^7)/G8</f>
        <v>68906206.896551728</v>
      </c>
      <c r="I8" s="21">
        <v>0.04</v>
      </c>
      <c r="J8" s="22">
        <v>0.04</v>
      </c>
    </row>
    <row r="9" spans="2:10" x14ac:dyDescent="0.25">
      <c r="E9" s="15">
        <v>2023</v>
      </c>
      <c r="F9" s="16">
        <f>'Formated PL'!D7</f>
        <v>930.09</v>
      </c>
      <c r="G9" s="20">
        <v>140</v>
      </c>
      <c r="H9" s="15">
        <f t="shared" si="3"/>
        <v>66435000</v>
      </c>
      <c r="I9" s="18"/>
      <c r="J9" s="23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0DB7-4981-455D-A490-6A94F3B11B96}">
  <dimension ref="A1:G26"/>
  <sheetViews>
    <sheetView workbookViewId="0">
      <selection activeCell="J9" sqref="J9"/>
    </sheetView>
  </sheetViews>
  <sheetFormatPr defaultRowHeight="15" x14ac:dyDescent="0.25"/>
  <cols>
    <col min="1" max="1" width="24" bestFit="1" customWidth="1"/>
    <col min="2" max="2" width="8.140625" style="3" bestFit="1" customWidth="1"/>
    <col min="3" max="6" width="9.140625" style="3"/>
    <col min="7" max="7" width="8.140625" style="3" bestFit="1" customWidth="1"/>
  </cols>
  <sheetData>
    <row r="1" spans="1:7" x14ac:dyDescent="0.25">
      <c r="B1" s="3">
        <f>'Formated PL'!B2</f>
        <v>2021</v>
      </c>
      <c r="C1" s="3">
        <f>'Formated PL'!C2</f>
        <v>2022</v>
      </c>
      <c r="D1" s="3">
        <f>'Formated PL'!D2</f>
        <v>2023</v>
      </c>
      <c r="E1" s="3">
        <f>'Formated PL'!E2</f>
        <v>2024</v>
      </c>
      <c r="F1" s="3">
        <f>'Formated PL'!F2</f>
        <v>2025</v>
      </c>
      <c r="G1" s="3" t="str">
        <f>'Formated PL'!G2</f>
        <v>F2026</v>
      </c>
    </row>
    <row r="3" spans="1:7" x14ac:dyDescent="0.25">
      <c r="A3" t="s">
        <v>27</v>
      </c>
      <c r="B3" s="1">
        <f>BS!B31</f>
        <v>3.5863</v>
      </c>
      <c r="C3" s="1">
        <f>BS!C31</f>
        <v>5.2866</v>
      </c>
      <c r="D3" s="1">
        <f>BS!D31</f>
        <v>11.059999999999999</v>
      </c>
      <c r="E3" s="1">
        <f>BS!E31</f>
        <v>18.059999999999999</v>
      </c>
      <c r="F3" s="1">
        <f>BS!F31</f>
        <v>22.27</v>
      </c>
      <c r="G3" s="1">
        <f>BS!G31</f>
        <v>41.146901431611923</v>
      </c>
    </row>
    <row r="4" spans="1:7" x14ac:dyDescent="0.25">
      <c r="A4" t="s">
        <v>204</v>
      </c>
      <c r="B4" s="1">
        <f>BS!B35+BS!B42</f>
        <v>12.5533</v>
      </c>
      <c r="C4" s="1">
        <f>BS!C35+BS!C42</f>
        <v>5.9929000000000006</v>
      </c>
      <c r="D4" s="1">
        <f>BS!D35+BS!D42</f>
        <v>5.36</v>
      </c>
      <c r="E4" s="1">
        <f>BS!E35+BS!E42</f>
        <v>25.94</v>
      </c>
      <c r="F4" s="1">
        <f>BS!F35+BS!F42</f>
        <v>45.24</v>
      </c>
      <c r="G4" s="1">
        <f>BS!G35+BS!G42</f>
        <v>45.24</v>
      </c>
    </row>
    <row r="5" spans="1:7" x14ac:dyDescent="0.25">
      <c r="A5" t="s">
        <v>205</v>
      </c>
      <c r="B5" s="1">
        <f>'Formated PL'!B24</f>
        <v>4.8299000000000003</v>
      </c>
      <c r="C5" s="1">
        <f>'Formated PL'!C24</f>
        <v>2.1703000000000001</v>
      </c>
      <c r="D5" s="1">
        <f>'Formated PL'!D24</f>
        <v>1.34</v>
      </c>
      <c r="E5" s="1">
        <f>'Formated PL'!E24</f>
        <v>3.5</v>
      </c>
      <c r="F5" s="1">
        <f>'Formated PL'!F24</f>
        <v>6.14</v>
      </c>
      <c r="G5" s="1">
        <f>'Formated PL'!G24</f>
        <v>6.14</v>
      </c>
    </row>
    <row r="6" spans="1:7" x14ac:dyDescent="0.25">
      <c r="A6" t="s">
        <v>206</v>
      </c>
      <c r="B6" s="32">
        <f>B5/B4</f>
        <v>0.38475141994535306</v>
      </c>
      <c r="C6" s="32">
        <f t="shared" ref="C6:G6" si="0">C5/C4</f>
        <v>0.36214520515943865</v>
      </c>
      <c r="D6" s="32">
        <f t="shared" si="0"/>
        <v>0.25</v>
      </c>
      <c r="E6" s="32">
        <f t="shared" si="0"/>
        <v>0.13492675404780261</v>
      </c>
      <c r="F6" s="32">
        <f t="shared" si="0"/>
        <v>0.1357206012378426</v>
      </c>
      <c r="G6" s="32">
        <f t="shared" si="0"/>
        <v>0.1357206012378426</v>
      </c>
    </row>
    <row r="7" spans="1:7" x14ac:dyDescent="0.25">
      <c r="A7" t="s">
        <v>207</v>
      </c>
      <c r="B7" s="33">
        <f>'Formated PL'!B30</f>
        <v>0.30474794364361563</v>
      </c>
      <c r="C7" s="33">
        <f>'Formated PL'!C30</f>
        <v>0.26790176935123589</v>
      </c>
      <c r="D7" s="33">
        <f>'Formated PL'!D30</f>
        <v>0.28372093023255818</v>
      </c>
      <c r="E7" s="33">
        <f>'Formated PL'!E30</f>
        <v>0.2527363184079634</v>
      </c>
      <c r="F7" s="33">
        <f>'Formated PL'!F30</f>
        <v>0.24803149606299543</v>
      </c>
      <c r="G7" s="33">
        <f>'Formated PL'!G30</f>
        <v>0.27</v>
      </c>
    </row>
    <row r="8" spans="1:7" x14ac:dyDescent="0.25">
      <c r="A8" t="s">
        <v>208</v>
      </c>
      <c r="B8" s="32">
        <f>'Formated PL'!B31/WACC!B3</f>
        <v>0.23804478152971426</v>
      </c>
      <c r="C8" s="32">
        <f>'Formated PL'!C31/WACC!C3</f>
        <v>0.41559792683388613</v>
      </c>
      <c r="D8" s="32">
        <f>'Formated PL'!D31/WACC!D3</f>
        <v>0.55696202531645567</v>
      </c>
      <c r="E8" s="32">
        <f>'Formated PL'!E31/WACC!E3</f>
        <v>0.4158361018826065</v>
      </c>
      <c r="F8" s="32">
        <f>'Formated PL'!F31/WACC!F3</f>
        <v>0.25729681185450826</v>
      </c>
      <c r="G8" s="32">
        <f>'Formated PL'!G31/WACC!G3</f>
        <v>0.45876848012446853</v>
      </c>
    </row>
    <row r="10" spans="1:7" x14ac:dyDescent="0.25">
      <c r="A10" t="s">
        <v>209</v>
      </c>
      <c r="B10" s="6">
        <f>'Formated PL'!B22/'Formated PL'!B24</f>
        <v>0.4718731236671595</v>
      </c>
      <c r="C10" s="6">
        <f>'Formated PL'!C22/'Formated PL'!C24</f>
        <v>0.26885684006820348</v>
      </c>
      <c r="D10" s="6">
        <f>'Formated PL'!D22/'Formated PL'!D24</f>
        <v>-1.5671641791044786</v>
      </c>
      <c r="E10" s="6">
        <f>'Formated PL'!E22/'Formated PL'!E24</f>
        <v>0.49714285714282064</v>
      </c>
      <c r="F10" s="6">
        <f>'Formated PL'!F22/'Formated PL'!F24</f>
        <v>1.2540716612377687</v>
      </c>
      <c r="G10" s="6">
        <f>'Formated PL'!G22/'Formated PL'!G24</f>
        <v>4.2245552254722956</v>
      </c>
    </row>
    <row r="12" spans="1:7" x14ac:dyDescent="0.25">
      <c r="A12" t="s">
        <v>210</v>
      </c>
      <c r="B12" s="6">
        <f>B6*(1-B7)</f>
        <v>0.26749921590304554</v>
      </c>
      <c r="C12" s="6">
        <f t="shared" ref="C12:G12" si="1">C6*(1-C7)</f>
        <v>0.26512586393515875</v>
      </c>
      <c r="D12" s="6">
        <f t="shared" si="1"/>
        <v>0.17906976744186046</v>
      </c>
      <c r="E12" s="6">
        <f t="shared" si="1"/>
        <v>0.1008258629750242</v>
      </c>
      <c r="F12" s="6">
        <f t="shared" si="1"/>
        <v>0.10205761746625126</v>
      </c>
      <c r="G12" s="6">
        <f t="shared" si="1"/>
        <v>9.9076038903625097E-2</v>
      </c>
    </row>
    <row r="14" spans="1:7" x14ac:dyDescent="0.25">
      <c r="A14" t="s">
        <v>211</v>
      </c>
      <c r="B14" s="1">
        <f>B4/B3</f>
        <v>3.5003485486434487</v>
      </c>
      <c r="C14" s="1">
        <f t="shared" ref="C14:G14" si="2">C4/C3</f>
        <v>1.1336019369727237</v>
      </c>
      <c r="D14" s="1">
        <f t="shared" si="2"/>
        <v>0.48462929475587713</v>
      </c>
      <c r="E14" s="1">
        <f t="shared" si="2"/>
        <v>1.436323366555925</v>
      </c>
      <c r="F14" s="1">
        <f t="shared" si="2"/>
        <v>2.0314324202963627</v>
      </c>
      <c r="G14" s="1">
        <f t="shared" si="2"/>
        <v>1.0994752563614298</v>
      </c>
    </row>
    <row r="16" spans="1:7" x14ac:dyDescent="0.25">
      <c r="A16" t="s">
        <v>212</v>
      </c>
    </row>
    <row r="17" spans="1:7" x14ac:dyDescent="0.25">
      <c r="A17" t="s">
        <v>24</v>
      </c>
      <c r="G17" s="34">
        <f>1-G18</f>
        <v>0.47630949541795764</v>
      </c>
    </row>
    <row r="18" spans="1:7" x14ac:dyDescent="0.25">
      <c r="A18" t="s">
        <v>213</v>
      </c>
      <c r="G18" s="34">
        <f>G14/(1+G14)</f>
        <v>0.52369050458204236</v>
      </c>
    </row>
    <row r="20" spans="1:7" x14ac:dyDescent="0.25">
      <c r="A20" t="s">
        <v>214</v>
      </c>
    </row>
    <row r="21" spans="1:7" x14ac:dyDescent="0.25">
      <c r="A21" t="s">
        <v>215</v>
      </c>
      <c r="G21" s="6">
        <v>6.7000000000000004E-2</v>
      </c>
    </row>
    <row r="22" spans="1:7" x14ac:dyDescent="0.25">
      <c r="A22" t="s">
        <v>216</v>
      </c>
      <c r="G22" s="3">
        <v>0.85</v>
      </c>
    </row>
    <row r="23" spans="1:7" x14ac:dyDescent="0.25">
      <c r="A23" t="s">
        <v>217</v>
      </c>
      <c r="G23" s="34">
        <v>7.0000000000000007E-2</v>
      </c>
    </row>
    <row r="24" spans="1:7" x14ac:dyDescent="0.25">
      <c r="A24" t="s">
        <v>218</v>
      </c>
      <c r="G24" s="6">
        <f>G21+(G22*G23)</f>
        <v>0.1265</v>
      </c>
    </row>
    <row r="26" spans="1:7" x14ac:dyDescent="0.25">
      <c r="A26" t="s">
        <v>219</v>
      </c>
      <c r="G26" s="6">
        <f>G24*G17+G18*G12</f>
        <v>0.11213833197580113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FEEC-A846-491A-BEBF-1A3ECD64620A}">
  <dimension ref="A1:S19"/>
  <sheetViews>
    <sheetView workbookViewId="0">
      <selection activeCell="S9" sqref="S9"/>
    </sheetView>
  </sheetViews>
  <sheetFormatPr defaultRowHeight="15" x14ac:dyDescent="0.25"/>
  <cols>
    <col min="1" max="1" width="45" style="131" bestFit="1" customWidth="1"/>
    <col min="2" max="2" width="5.5703125" style="131" bestFit="1" customWidth="1"/>
    <col min="3" max="3" width="6.28515625" style="131" bestFit="1" customWidth="1"/>
    <col min="4" max="4" width="5.5703125" style="131" bestFit="1" customWidth="1"/>
    <col min="5" max="5" width="6.28515625" style="131" bestFit="1" customWidth="1"/>
    <col min="6" max="6" width="8.28515625" style="131" bestFit="1" customWidth="1"/>
    <col min="7" max="10" width="6.28515625" style="131" bestFit="1" customWidth="1"/>
    <col min="11" max="11" width="7.28515625" style="131" bestFit="1" customWidth="1"/>
    <col min="12" max="12" width="9.140625" style="131"/>
    <col min="13" max="13" width="7.28515625" style="131" bestFit="1" customWidth="1"/>
    <col min="14" max="14" width="7.140625" style="131" bestFit="1" customWidth="1"/>
    <col min="15" max="15" width="8.28515625" style="131" bestFit="1" customWidth="1"/>
    <col min="16" max="17" width="9.28515625" style="131" bestFit="1" customWidth="1"/>
    <col min="18" max="18" width="8.28515625" style="131" bestFit="1" customWidth="1"/>
    <col min="19" max="19" width="9.28515625" style="131" bestFit="1" customWidth="1"/>
    <col min="20" max="16384" width="9.140625" style="131"/>
  </cols>
  <sheetData>
    <row r="1" spans="1:19" ht="15.75" thickBot="1" x14ac:dyDescent="0.3">
      <c r="A1" s="130" t="s">
        <v>220</v>
      </c>
      <c r="B1" s="58">
        <f>'Formated PL'!B2</f>
        <v>2021</v>
      </c>
      <c r="C1" s="59">
        <f>'Formated PL'!C2</f>
        <v>2022</v>
      </c>
      <c r="D1" s="59">
        <f>'Formated PL'!D2</f>
        <v>2023</v>
      </c>
      <c r="E1" s="59">
        <f>'Formated PL'!E2</f>
        <v>2024</v>
      </c>
      <c r="F1" s="59">
        <f>'Formated PL'!F2</f>
        <v>2025</v>
      </c>
      <c r="G1" s="59" t="str">
        <f>'Formated PL'!G2</f>
        <v>F2026</v>
      </c>
      <c r="H1" s="59" t="str">
        <f>'Formated PL'!H2</f>
        <v>F2027</v>
      </c>
      <c r="I1" s="59" t="str">
        <f>'Formated PL'!I2</f>
        <v>F2028</v>
      </c>
      <c r="J1" s="59" t="str">
        <f>'Formated PL'!J2</f>
        <v>F2029</v>
      </c>
      <c r="K1" s="60" t="str">
        <f>'Formated PL'!K2</f>
        <v>F2030</v>
      </c>
      <c r="L1" s="3"/>
      <c r="M1" s="3"/>
      <c r="N1" s="3"/>
      <c r="O1" s="3"/>
      <c r="P1" s="3"/>
      <c r="Q1" s="3"/>
      <c r="R1" s="3"/>
      <c r="S1" s="3"/>
    </row>
    <row r="2" spans="1:19" ht="15.75" thickBot="1" x14ac:dyDescent="0.3">
      <c r="A2" s="132"/>
      <c r="B2" s="84"/>
      <c r="C2" s="42"/>
      <c r="D2" s="42"/>
      <c r="E2" s="42"/>
      <c r="F2" s="42"/>
      <c r="G2" s="42"/>
      <c r="H2" s="42"/>
      <c r="I2" s="42"/>
      <c r="J2" s="42"/>
      <c r="K2" s="43"/>
      <c r="L2" s="3"/>
      <c r="M2" s="84"/>
      <c r="N2" s="43"/>
      <c r="O2" s="127">
        <f>F17</f>
        <v>622.48326177785441</v>
      </c>
      <c r="P2" s="128">
        <v>9.0999999999999998E-2</v>
      </c>
      <c r="Q2" s="128">
        <v>0.10100000000000001</v>
      </c>
      <c r="R2" s="128">
        <v>0.112</v>
      </c>
      <c r="S2" s="129">
        <v>0.121</v>
      </c>
    </row>
    <row r="3" spans="1:19" x14ac:dyDescent="0.25">
      <c r="A3" s="133" t="s">
        <v>221</v>
      </c>
      <c r="B3" s="44">
        <f>'Formated PL'!B22*(1-'Formated PL'!B30)</f>
        <v>1.5845489616418453</v>
      </c>
      <c r="C3" s="45">
        <f>'Formated PL'!C22*(1-'Formated PL'!C30)</f>
        <v>0.42717931758357003</v>
      </c>
      <c r="D3" s="45">
        <f>'Formated PL'!D22*(1-'Formated PL'!D30)</f>
        <v>-1.5041860465116288</v>
      </c>
      <c r="E3" s="45">
        <f>'Formated PL'!E22*(1-'Formated PL'!E30)</f>
        <v>1.3002388059700483</v>
      </c>
      <c r="F3" s="45">
        <f>'Formated PL'!F22*(1-'Formated PL'!F30)</f>
        <v>5.7901574803148597</v>
      </c>
      <c r="G3" s="45">
        <f>'Formated PL'!G22*(1-'Formated PL'!G30)</f>
        <v>18.935301431611922</v>
      </c>
      <c r="H3" s="45">
        <f>'Formated PL'!H22*(1-'Formated PL'!H30)</f>
        <v>18.186190261964207</v>
      </c>
      <c r="I3" s="45">
        <f>'Formated PL'!I22*(1-'Formated PL'!I30)</f>
        <v>16.990866842227561</v>
      </c>
      <c r="J3" s="45">
        <f>'Formated PL'!J22*(1-'Formated PL'!J30)</f>
        <v>15.244485879935914</v>
      </c>
      <c r="K3" s="51">
        <f>'Formated PL'!K22*(1-'Formated PL'!K30)</f>
        <v>12.821998074252226</v>
      </c>
      <c r="L3" s="3"/>
      <c r="M3" s="91"/>
      <c r="N3" s="47"/>
      <c r="O3" s="120">
        <v>0.08</v>
      </c>
      <c r="P3" s="41">
        <f t="dataTable" ref="P3:S7" dt2D="1" dtr="1" r1="N4" r2="N5"/>
        <v>673.11285750053776</v>
      </c>
      <c r="Q3" s="41">
        <v>359.99685648877289</v>
      </c>
      <c r="R3" s="41">
        <v>241.59986860619935</v>
      </c>
      <c r="S3" s="107">
        <v>191.98339253124064</v>
      </c>
    </row>
    <row r="4" spans="1:19" x14ac:dyDescent="0.25">
      <c r="A4" s="133" t="s">
        <v>222</v>
      </c>
      <c r="B4" s="44">
        <f>'Formated PL'!B20</f>
        <v>13.273499999999999</v>
      </c>
      <c r="C4" s="45">
        <f>'Formated PL'!C20</f>
        <v>11.7438</v>
      </c>
      <c r="D4" s="45">
        <f>'Formated PL'!D20</f>
        <v>11.07</v>
      </c>
      <c r="E4" s="45">
        <f>'Formated PL'!E20</f>
        <v>12.4</v>
      </c>
      <c r="F4" s="45">
        <f>'Formated PL'!F20</f>
        <v>16.13</v>
      </c>
      <c r="G4" s="45">
        <f>'Formated PL'!G20</f>
        <v>17.760414915599995</v>
      </c>
      <c r="H4" s="45">
        <f>'Formated PL'!H20</f>
        <v>20.102846960048996</v>
      </c>
      <c r="I4" s="45">
        <f>'Formated PL'!I20</f>
        <v>22.685378289054018</v>
      </c>
      <c r="J4" s="45">
        <f>'Formated PL'!J20</f>
        <v>25.532619079282057</v>
      </c>
      <c r="K4" s="51">
        <f>'Formated PL'!K20</f>
        <v>28.671702050508465</v>
      </c>
      <c r="L4" s="3"/>
      <c r="M4" s="91" t="s">
        <v>219</v>
      </c>
      <c r="N4" s="123">
        <f>WACC!G26</f>
        <v>0.11213833197580113</v>
      </c>
      <c r="O4" s="121">
        <v>0.09</v>
      </c>
      <c r="P4" s="45">
        <v>7315.5209122973283</v>
      </c>
      <c r="Q4" s="45">
        <v>679.20122418687674</v>
      </c>
      <c r="R4" s="45">
        <v>347.38523978135453</v>
      </c>
      <c r="S4" s="51">
        <v>251.05156688942859</v>
      </c>
    </row>
    <row r="5" spans="1:19" x14ac:dyDescent="0.25">
      <c r="A5" s="133" t="s">
        <v>223</v>
      </c>
      <c r="B5" s="44">
        <f>CF!B22</f>
        <v>-0.87999999999999989</v>
      </c>
      <c r="C5" s="45">
        <f>CF!C22</f>
        <v>12.977500000000003</v>
      </c>
      <c r="D5" s="45">
        <f>CF!D22</f>
        <v>-0.82980000000000587</v>
      </c>
      <c r="E5" s="45">
        <f>CF!E22</f>
        <v>6.0300000000000047</v>
      </c>
      <c r="F5" s="45">
        <f>CF!F22</f>
        <v>9.519999999999996</v>
      </c>
      <c r="G5" s="45">
        <f>CF!G22</f>
        <v>-1.0757797535211466</v>
      </c>
      <c r="H5" s="45">
        <f>CF!H22</f>
        <v>0.54060757526409731</v>
      </c>
      <c r="I5" s="45">
        <f>CF!I22</f>
        <v>0.59601985172861305</v>
      </c>
      <c r="J5" s="45">
        <f>CF!J22</f>
        <v>0.65711188653087049</v>
      </c>
      <c r="K5" s="51">
        <f>CF!K22</f>
        <v>0.72446585490023097</v>
      </c>
      <c r="L5" s="3"/>
      <c r="M5" s="91" t="s">
        <v>231</v>
      </c>
      <c r="N5" s="124">
        <v>0.1</v>
      </c>
      <c r="O5" s="121">
        <v>0.1</v>
      </c>
      <c r="P5" s="45">
        <v>-802.97782134319448</v>
      </c>
      <c r="Q5" s="45">
        <v>7382.492945847066</v>
      </c>
      <c r="R5" s="45">
        <v>629.47956291510184</v>
      </c>
      <c r="S5" s="51">
        <v>366.37514539827197</v>
      </c>
    </row>
    <row r="6" spans="1:19" x14ac:dyDescent="0.25">
      <c r="A6" s="133" t="s">
        <v>224</v>
      </c>
      <c r="B6" s="44">
        <f>CF!B26</f>
        <v>-3.99</v>
      </c>
      <c r="C6" s="45">
        <f>CF!C26</f>
        <v>-13.38</v>
      </c>
      <c r="D6" s="45">
        <f>CF!D26</f>
        <v>-6.63</v>
      </c>
      <c r="E6" s="45">
        <f>CF!E26</f>
        <v>-38.200000000000003</v>
      </c>
      <c r="F6" s="45">
        <f>CF!F26</f>
        <v>-43.96</v>
      </c>
      <c r="G6" s="45">
        <f>CF!G26</f>
        <v>-24.676595999999996</v>
      </c>
      <c r="H6" s="45">
        <f>CF!H26</f>
        <v>-27.205947089999999</v>
      </c>
      <c r="I6" s="45">
        <f>CF!I26</f>
        <v>-29.994556666725003</v>
      </c>
      <c r="J6" s="45">
        <f>CF!J26</f>
        <v>-33.068998725064318</v>
      </c>
      <c r="K6" s="51">
        <f>CF!K26</f>
        <v>-36.458571094383409</v>
      </c>
      <c r="L6" s="3"/>
      <c r="M6" s="135"/>
      <c r="N6" s="136"/>
      <c r="O6" s="121">
        <v>0.11</v>
      </c>
      <c r="P6" s="45">
        <v>-375.68841430948288</v>
      </c>
      <c r="Q6" s="45">
        <v>-810.41915840427782</v>
      </c>
      <c r="R6" s="45">
        <v>3732.5171173863187</v>
      </c>
      <c r="S6" s="51">
        <v>691.37795755955733</v>
      </c>
    </row>
    <row r="7" spans="1:19" ht="15.75" thickBot="1" x14ac:dyDescent="0.3">
      <c r="A7" s="133" t="s">
        <v>220</v>
      </c>
      <c r="B7" s="113">
        <f>SUM(B3:B6)</f>
        <v>9.9880489616418426</v>
      </c>
      <c r="C7" s="114">
        <f t="shared" ref="C7:K7" si="0">SUM(C3:C6)</f>
        <v>11.768479317583571</v>
      </c>
      <c r="D7" s="114">
        <f t="shared" si="0"/>
        <v>2.1060139534883655</v>
      </c>
      <c r="E7" s="114">
        <f t="shared" si="0"/>
        <v>-18.46976119402995</v>
      </c>
      <c r="F7" s="114">
        <f t="shared" si="0"/>
        <v>-12.519842519685145</v>
      </c>
      <c r="G7" s="114">
        <f t="shared" si="0"/>
        <v>10.94334059369077</v>
      </c>
      <c r="H7" s="114">
        <f t="shared" si="0"/>
        <v>11.623697707277305</v>
      </c>
      <c r="I7" s="114">
        <f t="shared" si="0"/>
        <v>10.277708316285185</v>
      </c>
      <c r="J7" s="114">
        <f t="shared" si="0"/>
        <v>8.3652181206845242</v>
      </c>
      <c r="K7" s="115">
        <f t="shared" si="0"/>
        <v>5.7595948852775152</v>
      </c>
      <c r="L7" s="3"/>
      <c r="M7" s="125"/>
      <c r="N7" s="126"/>
      <c r="O7" s="122">
        <v>0.12</v>
      </c>
      <c r="P7" s="114">
        <v>-243.08135695419307</v>
      </c>
      <c r="Q7" s="114">
        <v>-379.21325818052202</v>
      </c>
      <c r="R7" s="114">
        <v>-922.03921432050902</v>
      </c>
      <c r="S7" s="115">
        <v>7516.4370129465442</v>
      </c>
    </row>
    <row r="8" spans="1:19" ht="15.75" thickBot="1" x14ac:dyDescent="0.3">
      <c r="A8" s="133" t="s">
        <v>225</v>
      </c>
      <c r="B8" s="58"/>
      <c r="C8" s="116"/>
      <c r="D8" s="116"/>
      <c r="E8" s="116"/>
      <c r="F8" s="116"/>
      <c r="G8" s="116"/>
      <c r="H8" s="116"/>
      <c r="I8" s="116"/>
      <c r="J8" s="116"/>
      <c r="K8" s="117">
        <f>K7*(1+N5)/(N4-N5)</f>
        <v>521.94604550573956</v>
      </c>
      <c r="L8" s="3"/>
      <c r="M8" s="3"/>
      <c r="N8" s="3"/>
      <c r="O8" s="3"/>
      <c r="P8" s="3"/>
      <c r="Q8" s="3"/>
      <c r="R8" s="3"/>
      <c r="S8" s="3"/>
    </row>
    <row r="9" spans="1:19" ht="15.75" thickBot="1" x14ac:dyDescent="0.3">
      <c r="A9" s="134" t="s">
        <v>226</v>
      </c>
      <c r="B9" s="58"/>
      <c r="C9" s="116"/>
      <c r="D9" s="116"/>
      <c r="E9" s="116"/>
      <c r="F9" s="116"/>
      <c r="G9" s="116">
        <f>SUM(G7:G8)</f>
        <v>10.94334059369077</v>
      </c>
      <c r="H9" s="116">
        <f t="shared" ref="H9:K9" si="1">SUM(H7:H8)</f>
        <v>11.623697707277305</v>
      </c>
      <c r="I9" s="116">
        <f t="shared" si="1"/>
        <v>10.277708316285185</v>
      </c>
      <c r="J9" s="116">
        <f t="shared" si="1"/>
        <v>8.3652181206845242</v>
      </c>
      <c r="K9" s="117">
        <f t="shared" si="1"/>
        <v>527.70564039101703</v>
      </c>
      <c r="L9" s="3"/>
      <c r="M9" s="3"/>
      <c r="N9" s="3"/>
      <c r="O9" s="3"/>
      <c r="P9" s="3"/>
      <c r="Q9" s="3"/>
      <c r="R9" s="3"/>
      <c r="S9" s="3"/>
    </row>
    <row r="10" spans="1:19" ht="15.75" thickBot="1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25">
      <c r="A11" s="132" t="s">
        <v>227</v>
      </c>
      <c r="B11" s="3"/>
      <c r="C11" s="3"/>
      <c r="D11" s="3"/>
      <c r="E11" s="3"/>
      <c r="F11" s="118">
        <f>SUM(G9:K9)</f>
        <v>568.91560512895478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133" t="s">
        <v>228</v>
      </c>
      <c r="B12" s="3"/>
      <c r="C12" s="3"/>
      <c r="D12" s="3"/>
      <c r="E12" s="3"/>
      <c r="F12" s="62">
        <f>WACC!F4</f>
        <v>45.24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133" t="s">
        <v>229</v>
      </c>
      <c r="B13" s="3"/>
      <c r="C13" s="3"/>
      <c r="D13" s="3"/>
      <c r="E13" s="3"/>
      <c r="F13" s="62">
        <f>BS!F20</f>
        <v>11.66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5.75" thickBot="1" x14ac:dyDescent="0.3">
      <c r="A14" s="134" t="s">
        <v>201</v>
      </c>
      <c r="B14" s="3"/>
      <c r="C14" s="3"/>
      <c r="D14" s="3"/>
      <c r="E14" s="3"/>
      <c r="F14" s="119">
        <f>F11-F12+F13</f>
        <v>535.33560512895474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5.75" thickBot="1" x14ac:dyDescent="0.3">
      <c r="B15" s="3"/>
      <c r="C15" s="3"/>
      <c r="D15" s="3"/>
      <c r="E15" s="3"/>
      <c r="F15" s="1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25">
      <c r="A16" s="132" t="s">
        <v>150</v>
      </c>
      <c r="B16" s="3"/>
      <c r="C16" s="3"/>
      <c r="D16" s="3"/>
      <c r="E16" s="3"/>
      <c r="F16" s="118">
        <f>'Formated PL'!F34</f>
        <v>0.86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133" t="s">
        <v>230</v>
      </c>
      <c r="B17" s="3"/>
      <c r="C17" s="3"/>
      <c r="D17" s="3"/>
      <c r="E17" s="3"/>
      <c r="F17" s="62">
        <f>F14/F16</f>
        <v>622.48326177785441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5.75" thickBot="1" x14ac:dyDescent="0.3">
      <c r="A18" s="134" t="s">
        <v>196</v>
      </c>
      <c r="B18" s="3"/>
      <c r="C18" s="3"/>
      <c r="D18" s="3"/>
      <c r="E18" s="3"/>
      <c r="F18" s="62">
        <f>INDEX!L5</f>
        <v>9999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5.75" thickBot="1" x14ac:dyDescent="0.3">
      <c r="F19" s="64">
        <f>F17/F18-1</f>
        <v>-0.93774544836705132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D8DC7E-BCB5-4674-BC46-E17B1641C8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INDEX</vt:lpstr>
      <vt:lpstr>BS</vt:lpstr>
      <vt:lpstr>CF</vt:lpstr>
      <vt:lpstr>PL</vt:lpstr>
      <vt:lpstr>Formated PL</vt:lpstr>
      <vt:lpstr>WC Note</vt:lpstr>
      <vt:lpstr>PPE NOTE</vt:lpstr>
      <vt:lpstr>Other Equity</vt:lpstr>
      <vt:lpstr>Revenue Breakup</vt:lpstr>
      <vt:lpstr>WACC</vt:lpstr>
      <vt:lpstr>FCFF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debaprasad paul</dc:creator>
  <cp:lastModifiedBy>debaprasad paul</cp:lastModifiedBy>
  <dcterms:created xsi:type="dcterms:W3CDTF">2026-02-22T06:22:43Z</dcterms:created>
  <dcterms:modified xsi:type="dcterms:W3CDTF">2026-02-22T12:18:55Z</dcterms:modified>
</cp:coreProperties>
</file>